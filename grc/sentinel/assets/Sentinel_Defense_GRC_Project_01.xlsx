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1710F0CC-9A9F-4ABA-8DA1-524A7BE743E2}" xr6:coauthVersionLast="47" xr6:coauthVersionMax="47" xr10:uidLastSave="{00000000-0000-0000-0000-000000000000}"/>
  <bookViews>
    <workbookView showSheetTabs="0" xWindow="-120" yWindow="-120" windowWidth="51840" windowHeight="21840" xr2:uid="{00000000-000D-0000-FFFF-FFFF00000000}"/>
  </bookViews>
  <sheets>
    <sheet name="Dashboard" sheetId="1" r:id="rId1"/>
    <sheet name="Risk Register" sheetId="2" r:id="rId2"/>
    <sheet name="Control Assessment" sheetId="3" r:id="rId3"/>
    <sheet name="Evidence Tracker" sheetId="4" r:id="rId4"/>
    <sheet name="Remediation Tracker" sheetId="5" r:id="rId5"/>
    <sheet name="Scoring Methodology" sheetId="6" r:id="rId6"/>
    <sheet name="Instructions" sheetId="7" r:id="rId7"/>
  </sheets>
  <definedNames>
    <definedName name="ControlIDs">'Control Assessment'!$E$7:$E$106</definedName>
    <definedName name="RiskIDs">'Risk Register'!$E$7:$E$106</definedName>
    <definedName name="RiskTitles">'Risk Register'!$F$7:$F$106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6" i="5" l="1"/>
  <c r="O105" i="5"/>
  <c r="O104" i="5"/>
  <c r="O103" i="5"/>
  <c r="O102" i="5"/>
  <c r="O101" i="5"/>
  <c r="O100" i="5"/>
  <c r="O99" i="5"/>
  <c r="O98" i="5"/>
  <c r="O97" i="5"/>
  <c r="O96" i="5"/>
  <c r="O95" i="5"/>
  <c r="O94" i="5"/>
  <c r="O93" i="5"/>
  <c r="O92" i="5"/>
  <c r="O91" i="5"/>
  <c r="O90" i="5"/>
  <c r="O89" i="5"/>
  <c r="O88" i="5"/>
  <c r="O87" i="5"/>
  <c r="O86" i="5"/>
  <c r="O85" i="5"/>
  <c r="O84" i="5"/>
  <c r="O83" i="5"/>
  <c r="O82" i="5"/>
  <c r="O81" i="5"/>
  <c r="O80" i="5"/>
  <c r="O79" i="5"/>
  <c r="O78" i="5"/>
  <c r="O77" i="5"/>
  <c r="O76" i="5"/>
  <c r="O75" i="5"/>
  <c r="O74" i="5"/>
  <c r="O73" i="5"/>
  <c r="O72" i="5"/>
  <c r="O71" i="5"/>
  <c r="O70" i="5"/>
  <c r="O69" i="5"/>
  <c r="O68" i="5"/>
  <c r="O67" i="5"/>
  <c r="O66" i="5"/>
  <c r="O65" i="5"/>
  <c r="O64" i="5"/>
  <c r="O63" i="5"/>
  <c r="O62" i="5"/>
  <c r="O61" i="5"/>
  <c r="O60" i="5"/>
  <c r="O59" i="5"/>
  <c r="O58" i="5"/>
  <c r="O57" i="5"/>
  <c r="O56" i="5"/>
  <c r="O55" i="5"/>
  <c r="O54" i="5"/>
  <c r="O53" i="5"/>
  <c r="O52" i="5"/>
  <c r="O51" i="5"/>
  <c r="O50" i="5"/>
  <c r="O49" i="5"/>
  <c r="O48" i="5"/>
  <c r="O47" i="5"/>
  <c r="O46" i="5"/>
  <c r="O45" i="5"/>
  <c r="O44" i="5"/>
  <c r="O43" i="5"/>
  <c r="O42" i="5"/>
  <c r="O41" i="5"/>
  <c r="O40" i="5"/>
  <c r="O39" i="5"/>
  <c r="O38" i="5"/>
  <c r="O37"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O7" i="5"/>
  <c r="Y106" i="2"/>
  <c r="V106" i="2"/>
  <c r="W106" i="2" s="1"/>
  <c r="M106" i="2"/>
  <c r="N106" i="2" s="1"/>
  <c r="Y105" i="2"/>
  <c r="V105" i="2"/>
  <c r="W105" i="2" s="1"/>
  <c r="M105" i="2"/>
  <c r="N105" i="2" s="1"/>
  <c r="Y104" i="2"/>
  <c r="V104" i="2"/>
  <c r="W104" i="2" s="1"/>
  <c r="M104" i="2"/>
  <c r="N104" i="2" s="1"/>
  <c r="Y103" i="2"/>
  <c r="V103" i="2"/>
  <c r="W103" i="2" s="1"/>
  <c r="M103" i="2"/>
  <c r="N103" i="2" s="1"/>
  <c r="Y102" i="2"/>
  <c r="V102" i="2"/>
  <c r="W102" i="2" s="1"/>
  <c r="M102" i="2"/>
  <c r="N102" i="2" s="1"/>
  <c r="Y101" i="2"/>
  <c r="V101" i="2"/>
  <c r="W101" i="2" s="1"/>
  <c r="M101" i="2"/>
  <c r="N101" i="2" s="1"/>
  <c r="Y100" i="2"/>
  <c r="V100" i="2"/>
  <c r="W100" i="2" s="1"/>
  <c r="M100" i="2"/>
  <c r="N100" i="2" s="1"/>
  <c r="Y99" i="2"/>
  <c r="V99" i="2"/>
  <c r="W99" i="2" s="1"/>
  <c r="M99" i="2"/>
  <c r="N99" i="2" s="1"/>
  <c r="Y98" i="2"/>
  <c r="V98" i="2"/>
  <c r="W98" i="2" s="1"/>
  <c r="M98" i="2"/>
  <c r="N98" i="2" s="1"/>
  <c r="Y97" i="2"/>
  <c r="V97" i="2"/>
  <c r="W97" i="2" s="1"/>
  <c r="M97" i="2"/>
  <c r="N97" i="2" s="1"/>
  <c r="Y96" i="2"/>
  <c r="V96" i="2"/>
  <c r="W96" i="2" s="1"/>
  <c r="M96" i="2"/>
  <c r="N96" i="2" s="1"/>
  <c r="Y95" i="2"/>
  <c r="V95" i="2"/>
  <c r="W95" i="2" s="1"/>
  <c r="M95" i="2"/>
  <c r="N95" i="2" s="1"/>
  <c r="Y94" i="2"/>
  <c r="V94" i="2"/>
  <c r="W94" i="2" s="1"/>
  <c r="M94" i="2"/>
  <c r="N94" i="2" s="1"/>
  <c r="Y93" i="2"/>
  <c r="V93" i="2"/>
  <c r="W93" i="2" s="1"/>
  <c r="M93" i="2"/>
  <c r="N93" i="2" s="1"/>
  <c r="Y92" i="2"/>
  <c r="V92" i="2"/>
  <c r="W92" i="2" s="1"/>
  <c r="M92" i="2"/>
  <c r="N92" i="2" s="1"/>
  <c r="Y91" i="2"/>
  <c r="V91" i="2"/>
  <c r="W91" i="2" s="1"/>
  <c r="M91" i="2"/>
  <c r="N91" i="2" s="1"/>
  <c r="Y90" i="2"/>
  <c r="V90" i="2"/>
  <c r="W90" i="2" s="1"/>
  <c r="M90" i="2"/>
  <c r="N90" i="2" s="1"/>
  <c r="Y89" i="2"/>
  <c r="V89" i="2"/>
  <c r="W89" i="2" s="1"/>
  <c r="M89" i="2"/>
  <c r="N89" i="2" s="1"/>
  <c r="Y88" i="2"/>
  <c r="V88" i="2"/>
  <c r="W88" i="2" s="1"/>
  <c r="M88" i="2"/>
  <c r="N88" i="2" s="1"/>
  <c r="Y87" i="2"/>
  <c r="V87" i="2"/>
  <c r="W87" i="2" s="1"/>
  <c r="M87" i="2"/>
  <c r="N87" i="2" s="1"/>
  <c r="Y86" i="2"/>
  <c r="V86" i="2"/>
  <c r="W86" i="2" s="1"/>
  <c r="M86" i="2"/>
  <c r="N86" i="2" s="1"/>
  <c r="Y85" i="2"/>
  <c r="V85" i="2"/>
  <c r="W85" i="2" s="1"/>
  <c r="M85" i="2"/>
  <c r="N85" i="2" s="1"/>
  <c r="Y84" i="2"/>
  <c r="V84" i="2"/>
  <c r="W84" i="2" s="1"/>
  <c r="M84" i="2"/>
  <c r="N84" i="2" s="1"/>
  <c r="Y83" i="2"/>
  <c r="V83" i="2"/>
  <c r="W83" i="2" s="1"/>
  <c r="M83" i="2"/>
  <c r="N83" i="2" s="1"/>
  <c r="Y82" i="2"/>
  <c r="V82" i="2"/>
  <c r="W82" i="2" s="1"/>
  <c r="M82" i="2"/>
  <c r="N82" i="2" s="1"/>
  <c r="Y81" i="2"/>
  <c r="V81" i="2"/>
  <c r="W81" i="2" s="1"/>
  <c r="M81" i="2"/>
  <c r="N81" i="2" s="1"/>
  <c r="Y80" i="2"/>
  <c r="V80" i="2"/>
  <c r="W80" i="2" s="1"/>
  <c r="M80" i="2"/>
  <c r="N80" i="2" s="1"/>
  <c r="Y79" i="2"/>
  <c r="V79" i="2"/>
  <c r="W79" i="2" s="1"/>
  <c r="M79" i="2"/>
  <c r="N79" i="2" s="1"/>
  <c r="Y78" i="2"/>
  <c r="V78" i="2"/>
  <c r="W78" i="2" s="1"/>
  <c r="M78" i="2"/>
  <c r="N78" i="2" s="1"/>
  <c r="Y77" i="2"/>
  <c r="V77" i="2"/>
  <c r="W77" i="2" s="1"/>
  <c r="M77" i="2"/>
  <c r="N77" i="2" s="1"/>
  <c r="Y76" i="2"/>
  <c r="V76" i="2"/>
  <c r="W76" i="2" s="1"/>
  <c r="M76" i="2"/>
  <c r="N76" i="2" s="1"/>
  <c r="Y75" i="2"/>
  <c r="V75" i="2"/>
  <c r="W75" i="2" s="1"/>
  <c r="M75" i="2"/>
  <c r="N75" i="2" s="1"/>
  <c r="Y74" i="2"/>
  <c r="V74" i="2"/>
  <c r="W74" i="2" s="1"/>
  <c r="M74" i="2"/>
  <c r="N74" i="2" s="1"/>
  <c r="Y73" i="2"/>
  <c r="V73" i="2"/>
  <c r="W73" i="2" s="1"/>
  <c r="M73" i="2"/>
  <c r="N73" i="2" s="1"/>
  <c r="Y72" i="2"/>
  <c r="V72" i="2"/>
  <c r="W72" i="2" s="1"/>
  <c r="M72" i="2"/>
  <c r="N72" i="2" s="1"/>
  <c r="Y71" i="2"/>
  <c r="V71" i="2"/>
  <c r="W71" i="2" s="1"/>
  <c r="M71" i="2"/>
  <c r="N71" i="2" s="1"/>
  <c r="Y70" i="2"/>
  <c r="V70" i="2"/>
  <c r="W70" i="2" s="1"/>
  <c r="M70" i="2"/>
  <c r="N70" i="2" s="1"/>
  <c r="Y69" i="2"/>
  <c r="V69" i="2"/>
  <c r="W69" i="2" s="1"/>
  <c r="M69" i="2"/>
  <c r="N69" i="2" s="1"/>
  <c r="Y68" i="2"/>
  <c r="V68" i="2"/>
  <c r="W68" i="2" s="1"/>
  <c r="M68" i="2"/>
  <c r="N68" i="2" s="1"/>
  <c r="Y67" i="2"/>
  <c r="V67" i="2"/>
  <c r="W67" i="2" s="1"/>
  <c r="M67" i="2"/>
  <c r="N67" i="2" s="1"/>
  <c r="Y66" i="2"/>
  <c r="V66" i="2"/>
  <c r="W66" i="2" s="1"/>
  <c r="M66" i="2"/>
  <c r="N66" i="2" s="1"/>
  <c r="Y65" i="2"/>
  <c r="V65" i="2"/>
  <c r="W65" i="2" s="1"/>
  <c r="M65" i="2"/>
  <c r="N65" i="2" s="1"/>
  <c r="Y64" i="2"/>
  <c r="V64" i="2"/>
  <c r="W64" i="2" s="1"/>
  <c r="M64" i="2"/>
  <c r="N64" i="2" s="1"/>
  <c r="Y63" i="2"/>
  <c r="V63" i="2"/>
  <c r="W63" i="2" s="1"/>
  <c r="M63" i="2"/>
  <c r="N63" i="2" s="1"/>
  <c r="Y62" i="2"/>
  <c r="V62" i="2"/>
  <c r="W62" i="2" s="1"/>
  <c r="M62" i="2"/>
  <c r="N62" i="2" s="1"/>
  <c r="Y61" i="2"/>
  <c r="V61" i="2"/>
  <c r="W61" i="2" s="1"/>
  <c r="M61" i="2"/>
  <c r="N61" i="2" s="1"/>
  <c r="Y60" i="2"/>
  <c r="V60" i="2"/>
  <c r="W60" i="2" s="1"/>
  <c r="M60" i="2"/>
  <c r="N60" i="2" s="1"/>
  <c r="Y59" i="2"/>
  <c r="V59" i="2"/>
  <c r="W59" i="2" s="1"/>
  <c r="M59" i="2"/>
  <c r="N59" i="2" s="1"/>
  <c r="Y58" i="2"/>
  <c r="V58" i="2"/>
  <c r="W58" i="2" s="1"/>
  <c r="M58" i="2"/>
  <c r="N58" i="2" s="1"/>
  <c r="Y57" i="2"/>
  <c r="V57" i="2"/>
  <c r="W57" i="2" s="1"/>
  <c r="M57" i="2"/>
  <c r="N57" i="2" s="1"/>
  <c r="Y56" i="2"/>
  <c r="V56" i="2"/>
  <c r="W56" i="2" s="1"/>
  <c r="M56" i="2"/>
  <c r="N56" i="2" s="1"/>
  <c r="Y55" i="2"/>
  <c r="V55" i="2"/>
  <c r="W55" i="2" s="1"/>
  <c r="M55" i="2"/>
  <c r="N55" i="2" s="1"/>
  <c r="Y54" i="2"/>
  <c r="V54" i="2"/>
  <c r="W54" i="2" s="1"/>
  <c r="M54" i="2"/>
  <c r="N54" i="2" s="1"/>
  <c r="Y53" i="2"/>
  <c r="V53" i="2"/>
  <c r="W53" i="2" s="1"/>
  <c r="M53" i="2"/>
  <c r="N53" i="2" s="1"/>
  <c r="Y52" i="2"/>
  <c r="V52" i="2"/>
  <c r="W52" i="2" s="1"/>
  <c r="M52" i="2"/>
  <c r="N52" i="2" s="1"/>
  <c r="Y51" i="2"/>
  <c r="V51" i="2"/>
  <c r="W51" i="2" s="1"/>
  <c r="M51" i="2"/>
  <c r="N51" i="2" s="1"/>
  <c r="Y50" i="2"/>
  <c r="V50" i="2"/>
  <c r="W50" i="2" s="1"/>
  <c r="M50" i="2"/>
  <c r="N50" i="2" s="1"/>
  <c r="Y49" i="2"/>
  <c r="V49" i="2"/>
  <c r="W49" i="2" s="1"/>
  <c r="M49" i="2"/>
  <c r="N49" i="2" s="1"/>
  <c r="Y48" i="2"/>
  <c r="V48" i="2"/>
  <c r="W48" i="2" s="1"/>
  <c r="M48" i="2"/>
  <c r="N48" i="2" s="1"/>
  <c r="Y47" i="2"/>
  <c r="V47" i="2"/>
  <c r="W47" i="2" s="1"/>
  <c r="M47" i="2"/>
  <c r="N47" i="2" s="1"/>
  <c r="Y46" i="2"/>
  <c r="V46" i="2"/>
  <c r="W46" i="2" s="1"/>
  <c r="M46" i="2"/>
  <c r="N46" i="2" s="1"/>
  <c r="Y45" i="2"/>
  <c r="V45" i="2"/>
  <c r="W45" i="2" s="1"/>
  <c r="M45" i="2"/>
  <c r="N45" i="2" s="1"/>
  <c r="Y44" i="2"/>
  <c r="V44" i="2"/>
  <c r="W44" i="2" s="1"/>
  <c r="M44" i="2"/>
  <c r="N44" i="2" s="1"/>
  <c r="Y43" i="2"/>
  <c r="V43" i="2"/>
  <c r="W43" i="2" s="1"/>
  <c r="M43" i="2"/>
  <c r="N43" i="2" s="1"/>
  <c r="Y42" i="2"/>
  <c r="V42" i="2"/>
  <c r="W42" i="2" s="1"/>
  <c r="M42" i="2"/>
  <c r="N42" i="2" s="1"/>
  <c r="Y41" i="2"/>
  <c r="V41" i="2"/>
  <c r="W41" i="2" s="1"/>
  <c r="M41" i="2"/>
  <c r="N41" i="2" s="1"/>
  <c r="Y40" i="2"/>
  <c r="V40" i="2"/>
  <c r="W40" i="2" s="1"/>
  <c r="M40" i="2"/>
  <c r="N40" i="2" s="1"/>
  <c r="Y39" i="2"/>
  <c r="V39" i="2"/>
  <c r="W39" i="2" s="1"/>
  <c r="M39" i="2"/>
  <c r="N39" i="2" s="1"/>
  <c r="Y38" i="2"/>
  <c r="V38" i="2"/>
  <c r="W38" i="2" s="1"/>
  <c r="M38" i="2"/>
  <c r="N38" i="2" s="1"/>
  <c r="Y37" i="2"/>
  <c r="V37" i="2"/>
  <c r="W37" i="2" s="1"/>
  <c r="M37" i="2"/>
  <c r="N37" i="2" s="1"/>
  <c r="Y36" i="2"/>
  <c r="V36" i="2"/>
  <c r="W36" i="2" s="1"/>
  <c r="M36" i="2"/>
  <c r="N36" i="2" s="1"/>
  <c r="Y35" i="2"/>
  <c r="V35" i="2"/>
  <c r="W35" i="2" s="1"/>
  <c r="M35" i="2"/>
  <c r="N35" i="2" s="1"/>
  <c r="Y34" i="2"/>
  <c r="V34" i="2"/>
  <c r="W34" i="2" s="1"/>
  <c r="M34" i="2"/>
  <c r="N34" i="2" s="1"/>
  <c r="Y33" i="2"/>
  <c r="V33" i="2"/>
  <c r="W33" i="2" s="1"/>
  <c r="M33" i="2"/>
  <c r="N33" i="2" s="1"/>
  <c r="Y32" i="2"/>
  <c r="V32" i="2"/>
  <c r="W32" i="2" s="1"/>
  <c r="M32" i="2"/>
  <c r="N32" i="2" s="1"/>
  <c r="Y31" i="2"/>
  <c r="V31" i="2"/>
  <c r="W31" i="2" s="1"/>
  <c r="M31" i="2"/>
  <c r="N31" i="2" s="1"/>
  <c r="Y30" i="2"/>
  <c r="V30" i="2"/>
  <c r="W30" i="2" s="1"/>
  <c r="M30" i="2"/>
  <c r="N30" i="2" s="1"/>
  <c r="Y29" i="2"/>
  <c r="V29" i="2"/>
  <c r="W29" i="2" s="1"/>
  <c r="M29" i="2"/>
  <c r="N29" i="2" s="1"/>
  <c r="Y28" i="2"/>
  <c r="V28" i="2"/>
  <c r="W28" i="2" s="1"/>
  <c r="M28" i="2"/>
  <c r="N28" i="2" s="1"/>
  <c r="Y27" i="2"/>
  <c r="V27" i="2"/>
  <c r="W27" i="2" s="1"/>
  <c r="M27" i="2"/>
  <c r="N27" i="2" s="1"/>
  <c r="Y26" i="2"/>
  <c r="V26" i="2"/>
  <c r="W26" i="2" s="1"/>
  <c r="M26" i="2"/>
  <c r="N26" i="2" s="1"/>
  <c r="Y25" i="2"/>
  <c r="V25" i="2"/>
  <c r="W25" i="2" s="1"/>
  <c r="M25" i="2"/>
  <c r="N25" i="2" s="1"/>
  <c r="Y24" i="2"/>
  <c r="V24" i="2"/>
  <c r="W24" i="2" s="1"/>
  <c r="M24" i="2"/>
  <c r="N24" i="2" s="1"/>
  <c r="Y23" i="2"/>
  <c r="V23" i="2"/>
  <c r="W23" i="2" s="1"/>
  <c r="M23" i="2"/>
  <c r="N23" i="2" s="1"/>
  <c r="Y22" i="2"/>
  <c r="V22" i="2"/>
  <c r="W22" i="2" s="1"/>
  <c r="M22" i="2"/>
  <c r="N22" i="2" s="1"/>
  <c r="Y21" i="2"/>
  <c r="V21" i="2"/>
  <c r="W21" i="2" s="1"/>
  <c r="M21" i="2"/>
  <c r="N21" i="2" s="1"/>
  <c r="Y20" i="2"/>
  <c r="V20" i="2"/>
  <c r="W20" i="2" s="1"/>
  <c r="M20" i="2"/>
  <c r="N20" i="2" s="1"/>
  <c r="Y19" i="2"/>
  <c r="V19" i="2"/>
  <c r="W19" i="2" s="1"/>
  <c r="M19" i="2"/>
  <c r="N19" i="2" s="1"/>
  <c r="Y18" i="2"/>
  <c r="V18" i="2"/>
  <c r="W18" i="2" s="1"/>
  <c r="M18" i="2"/>
  <c r="N18" i="2" s="1"/>
  <c r="Y17" i="2"/>
  <c r="V17" i="2"/>
  <c r="W17" i="2" s="1"/>
  <c r="M17" i="2"/>
  <c r="N17" i="2" s="1"/>
  <c r="Y16" i="2"/>
  <c r="V16" i="2"/>
  <c r="W16" i="2" s="1"/>
  <c r="M16" i="2"/>
  <c r="N16" i="2" s="1"/>
  <c r="Y15" i="2"/>
  <c r="V15" i="2"/>
  <c r="W15" i="2" s="1"/>
  <c r="M15" i="2"/>
  <c r="N15" i="2" s="1"/>
  <c r="Y14" i="2"/>
  <c r="V14" i="2"/>
  <c r="W14" i="2" s="1"/>
  <c r="M14" i="2"/>
  <c r="N14" i="2" s="1"/>
  <c r="Y13" i="2"/>
  <c r="V13" i="2"/>
  <c r="W13" i="2" s="1"/>
  <c r="M13" i="2"/>
  <c r="N13" i="2" s="1"/>
  <c r="Y12" i="2"/>
  <c r="V12" i="2"/>
  <c r="W12" i="2" s="1"/>
  <c r="M12" i="2"/>
  <c r="N12" i="2" s="1"/>
  <c r="Y11" i="2"/>
  <c r="V11" i="2"/>
  <c r="W11" i="2" s="1"/>
  <c r="M11" i="2"/>
  <c r="N11" i="2" s="1"/>
  <c r="Y10" i="2"/>
  <c r="V10" i="2"/>
  <c r="W10" i="2" s="1"/>
  <c r="M10" i="2"/>
  <c r="N10" i="2" s="1"/>
  <c r="V9" i="2"/>
  <c r="W9" i="2" s="1"/>
  <c r="M9" i="2"/>
  <c r="N9" i="2" s="1"/>
  <c r="Y9" i="2" s="1"/>
  <c r="V8" i="2"/>
  <c r="W8" i="2" s="1"/>
  <c r="M8" i="2"/>
  <c r="V7" i="2"/>
  <c r="W7" i="2" s="1"/>
  <c r="M7" i="2"/>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R81" i="1"/>
  <c r="AE80" i="1"/>
  <c r="AE79" i="1"/>
  <c r="AE78" i="1"/>
  <c r="Z78" i="1"/>
  <c r="N78" i="1"/>
  <c r="AE77" i="1"/>
  <c r="Z77" i="1"/>
  <c r="N77" i="1"/>
  <c r="AE76" i="1"/>
  <c r="Z76" i="1"/>
  <c r="N76" i="1"/>
  <c r="AE75" i="1"/>
  <c r="Z75" i="1"/>
  <c r="N75" i="1"/>
  <c r="AE74" i="1"/>
  <c r="Z74" i="1"/>
  <c r="N74" i="1"/>
  <c r="AE73" i="1"/>
  <c r="AE72" i="1"/>
  <c r="AE71" i="1"/>
  <c r="F71" i="1"/>
  <c r="AE70" i="1"/>
  <c r="F70" i="1"/>
  <c r="AE69" i="1"/>
  <c r="F69" i="1"/>
  <c r="AE68" i="1"/>
  <c r="F68" i="1"/>
  <c r="AE67" i="1"/>
  <c r="F67" i="1"/>
  <c r="AE66" i="1"/>
  <c r="F66" i="1"/>
  <c r="AE65" i="1"/>
  <c r="F65" i="1"/>
  <c r="AE64" i="1"/>
  <c r="F64" i="1"/>
  <c r="AE63" i="1"/>
  <c r="F63" i="1"/>
  <c r="AE62" i="1"/>
  <c r="F62" i="1"/>
  <c r="AE61" i="1"/>
  <c r="AE60" i="1"/>
  <c r="AE59" i="1"/>
  <c r="F59" i="1"/>
  <c r="AE58" i="1"/>
  <c r="AE57" i="1"/>
  <c r="F57" i="1"/>
  <c r="AE56" i="1"/>
  <c r="AE55" i="1"/>
  <c r="AE54" i="1"/>
  <c r="AE53" i="1"/>
  <c r="F53" i="1"/>
  <c r="AE52" i="1"/>
  <c r="AE51" i="1"/>
  <c r="AE50" i="1"/>
  <c r="AE49" i="1"/>
  <c r="X49" i="1"/>
  <c r="F55" i="1" s="1"/>
  <c r="R49" i="1"/>
  <c r="L49" i="1"/>
  <c r="F49" i="1"/>
  <c r="AE48" i="1"/>
  <c r="AE47" i="1"/>
  <c r="AE46" i="1"/>
  <c r="AE45" i="1"/>
  <c r="AE44" i="1"/>
  <c r="AE43" i="1"/>
  <c r="AE42" i="1"/>
  <c r="AE41" i="1"/>
  <c r="AE40" i="1"/>
  <c r="AE39" i="1"/>
  <c r="AB39" i="1"/>
  <c r="AE38" i="1"/>
  <c r="AE37" i="1"/>
  <c r="AE36" i="1"/>
  <c r="AE35" i="1"/>
  <c r="AE34" i="1"/>
  <c r="AE33" i="1"/>
  <c r="AE32" i="1"/>
  <c r="AE20" i="1"/>
  <c r="R35" i="1" s="1"/>
  <c r="AG16" i="1"/>
  <c r="AF16" i="1"/>
  <c r="AE16" i="1"/>
  <c r="AF14" i="1"/>
  <c r="AF13" i="1"/>
  <c r="AF12" i="1"/>
  <c r="AF11" i="1"/>
  <c r="AF10" i="1"/>
  <c r="AB40" i="1" l="1"/>
  <c r="N8" i="2"/>
  <c r="AE17" i="1" s="1"/>
  <c r="AE31" i="1"/>
  <c r="N7" i="2"/>
  <c r="AE30" i="1"/>
  <c r="O65" i="1"/>
  <c r="M65" i="1"/>
  <c r="Y65" i="1"/>
  <c r="V65" i="1"/>
  <c r="H65" i="1"/>
  <c r="S65" i="1"/>
  <c r="S71" i="1"/>
  <c r="M71" i="1"/>
  <c r="O71" i="1"/>
  <c r="V71" i="1"/>
  <c r="H71" i="1"/>
  <c r="Y71" i="1"/>
  <c r="O70" i="1"/>
  <c r="H70" i="1"/>
  <c r="M70" i="1"/>
  <c r="Y70" i="1"/>
  <c r="V70" i="1"/>
  <c r="S70" i="1"/>
  <c r="V69" i="1"/>
  <c r="S69" i="1"/>
  <c r="M69" i="1"/>
  <c r="Y69" i="1"/>
  <c r="O69" i="1"/>
  <c r="H69" i="1"/>
  <c r="V68" i="1"/>
  <c r="H68" i="1"/>
  <c r="M68" i="1"/>
  <c r="S68" i="1"/>
  <c r="Y68" i="1"/>
  <c r="O68" i="1"/>
  <c r="S67" i="1"/>
  <c r="Y67" i="1"/>
  <c r="V67" i="1"/>
  <c r="O67" i="1"/>
  <c r="H67" i="1"/>
  <c r="M67" i="1"/>
  <c r="H66" i="1"/>
  <c r="V66" i="1"/>
  <c r="O66" i="1"/>
  <c r="Y66" i="1"/>
  <c r="S66" i="1"/>
  <c r="M66" i="1"/>
  <c r="H64" i="1"/>
  <c r="S64" i="1"/>
  <c r="Y64" i="1"/>
  <c r="V64" i="1"/>
  <c r="O64" i="1"/>
  <c r="M64" i="1"/>
  <c r="Y63" i="1"/>
  <c r="V63" i="1"/>
  <c r="S63" i="1"/>
  <c r="O63" i="1"/>
  <c r="H63" i="1"/>
  <c r="Y62" i="1"/>
  <c r="V62" i="1"/>
  <c r="S62" i="1"/>
  <c r="O62" i="1"/>
  <c r="H62" i="1"/>
  <c r="R30" i="1"/>
  <c r="R32" i="1"/>
  <c r="M62" i="1" l="1"/>
  <c r="Y7" i="2"/>
  <c r="Y8" i="2"/>
  <c r="Y32" i="1"/>
  <c r="M63" i="1"/>
  <c r="AF86" i="1"/>
  <c r="AF88" i="1"/>
  <c r="AF87" i="1"/>
  <c r="AF89" i="1"/>
  <c r="AF85" i="1"/>
  <c r="AF94" i="1"/>
  <c r="AF90" i="1"/>
  <c r="AF93" i="1"/>
  <c r="AF92" i="1"/>
  <c r="AF91" i="1"/>
  <c r="AF4" i="1" l="1"/>
  <c r="L12" i="1"/>
  <c r="X12" i="1"/>
  <c r="W18" i="1"/>
  <c r="Y18" i="1"/>
  <c r="X19" i="1"/>
  <c r="V20" i="1"/>
  <c r="AF6" i="1"/>
  <c r="X18" i="1"/>
  <c r="Z21" i="1"/>
  <c r="Z18" i="1"/>
  <c r="X22" i="1"/>
  <c r="Z20" i="1"/>
  <c r="W22" i="1"/>
  <c r="W19" i="1"/>
  <c r="W20" i="1"/>
  <c r="Y20" i="1"/>
  <c r="Y21" i="1"/>
  <c r="AF3" i="1"/>
  <c r="F12" i="1"/>
  <c r="V22" i="1"/>
  <c r="AF5" i="1"/>
  <c r="V19" i="1"/>
  <c r="Y19" i="1"/>
  <c r="V21" i="1"/>
  <c r="Y22" i="1"/>
  <c r="R12" i="1"/>
  <c r="V18" i="1"/>
  <c r="Z22" i="1"/>
  <c r="Z19" i="1"/>
  <c r="X20" i="1"/>
  <c r="W21" i="1"/>
  <c r="X21" i="1"/>
  <c r="M86" i="1"/>
  <c r="S86" i="1"/>
  <c r="F86" i="1"/>
  <c r="O86" i="1"/>
  <c r="Y93" i="1"/>
  <c r="F93" i="1"/>
  <c r="M93" i="1"/>
  <c r="S93" i="1"/>
  <c r="V93" i="1"/>
  <c r="V86" i="1"/>
  <c r="Y86" i="1"/>
  <c r="H86" i="1"/>
  <c r="O88" i="1"/>
  <c r="H88" i="1"/>
  <c r="F88" i="1"/>
  <c r="V88" i="1"/>
  <c r="M88" i="1"/>
  <c r="Y88" i="1"/>
  <c r="S88" i="1"/>
  <c r="S87" i="1"/>
  <c r="F87" i="1"/>
  <c r="H87" i="1"/>
  <c r="M87" i="1"/>
  <c r="O87" i="1"/>
  <c r="V87" i="1"/>
  <c r="Y87" i="1"/>
  <c r="M89" i="1"/>
  <c r="O89" i="1"/>
  <c r="V89" i="1"/>
  <c r="Y89" i="1"/>
  <c r="S89" i="1"/>
  <c r="F89" i="1"/>
  <c r="H89" i="1"/>
  <c r="F85" i="1"/>
  <c r="M85" i="1"/>
  <c r="S85" i="1"/>
  <c r="Y85" i="1"/>
  <c r="O85" i="1"/>
  <c r="H85" i="1"/>
  <c r="V85" i="1"/>
  <c r="O94" i="1"/>
  <c r="Y94" i="1"/>
  <c r="S94" i="1"/>
  <c r="V94" i="1"/>
  <c r="M94" i="1"/>
  <c r="H94" i="1"/>
  <c r="F94" i="1"/>
  <c r="F90" i="1"/>
  <c r="H90" i="1"/>
  <c r="M90" i="1"/>
  <c r="O90" i="1"/>
  <c r="S90" i="1"/>
  <c r="V90" i="1"/>
  <c r="Y90" i="1"/>
  <c r="V92" i="1"/>
  <c r="F92" i="1"/>
  <c r="M92" i="1"/>
  <c r="S92" i="1"/>
  <c r="Y92" i="1"/>
  <c r="H92" i="1"/>
  <c r="O92" i="1"/>
  <c r="F91" i="1"/>
  <c r="M91" i="1"/>
  <c r="S91" i="1"/>
  <c r="V91" i="1"/>
  <c r="Y91" i="1"/>
  <c r="H91" i="1"/>
  <c r="O91" i="1"/>
  <c r="H93" i="1"/>
  <c r="O93" i="1"/>
  <c r="F28" i="1" l="1"/>
</calcChain>
</file>

<file path=xl/sharedStrings.xml><?xml version="1.0" encoding="utf-8"?>
<sst xmlns="http://schemas.openxmlformats.org/spreadsheetml/2006/main" count="617" uniqueCount="223">
  <si>
    <t>Rating</t>
  </si>
  <si>
    <t>Risks</t>
  </si>
  <si>
    <t>Low</t>
  </si>
  <si>
    <t>Moderate</t>
  </si>
  <si>
    <t>GRC PROJECT 01  /  EXECUTIVE WORKSPACE  /  TRAINING SCENARIO</t>
  </si>
  <si>
    <t>High</t>
  </si>
  <si>
    <t>VALIDATION STATUS</t>
  </si>
  <si>
    <t>INHERENT RATING</t>
  </si>
  <si>
    <t>Critical</t>
  </si>
  <si>
    <t>All</t>
  </si>
  <si>
    <t>Risk filters apply to the risk cards, distribution and heatmap. Evidence and action summaries include all records.</t>
  </si>
  <si>
    <t>Evidence stage</t>
  </si>
  <si>
    <t>Requests</t>
  </si>
  <si>
    <t>RISKS IN VIEW</t>
  </si>
  <si>
    <t>HIGH / CRITICAL</t>
  </si>
  <si>
    <t>VALIDATED IN VIEW</t>
  </si>
  <si>
    <t>PENDING VALIDATION</t>
  </si>
  <si>
    <t>Planned</t>
  </si>
  <si>
    <t>Requested</t>
  </si>
  <si>
    <t>Received</t>
  </si>
  <si>
    <t>In review</t>
  </si>
  <si>
    <t>Reviewed</t>
  </si>
  <si>
    <t>INHERENT RISK DISTRIBUTION</t>
  </si>
  <si>
    <t>LIKELIHOOD × IMPACT</t>
  </si>
  <si>
    <t>Rows: likelihood 5 → 1. Columns: impact 1 → 5.
Each cell counts risks; color reflects the score band.</t>
  </si>
  <si>
    <t>EVIDENCE COLLECTION</t>
  </si>
  <si>
    <t>VALIDATED EVIDENCE</t>
  </si>
  <si>
    <t>OVERDUE ACTIONS</t>
  </si>
  <si>
    <t>GRC PROJECT 01  /  TRAINING WORKSPACE  /  SIMULATED R-001  /  EVIDENCE AND APPROVAL PENDING</t>
  </si>
  <si>
    <t>Risk ID</t>
  </si>
  <si>
    <t>Risk title</t>
  </si>
  <si>
    <t>Scenario fact / source</t>
  </si>
  <si>
    <t>Unverified assumptions</t>
  </si>
  <si>
    <t>Scope / asset</t>
  </si>
  <si>
    <t>Category</t>
  </si>
  <si>
    <t>Likelihood</t>
  </si>
  <si>
    <t>Impact</t>
  </si>
  <si>
    <t>Inherent score</t>
  </si>
  <si>
    <t>Inherent rating</t>
  </si>
  <si>
    <t>Proposed owner</t>
  </si>
  <si>
    <t>Treatment</t>
  </si>
  <si>
    <t>Validation status</t>
  </si>
  <si>
    <t>Workflow status</t>
  </si>
  <si>
    <t>Evidence IDs</t>
  </si>
  <si>
    <t>Residual likelihood</t>
  </si>
  <si>
    <t>Residual impact</t>
  </si>
  <si>
    <t>Residual score</t>
  </si>
  <si>
    <t>Residual rating</t>
  </si>
  <si>
    <t>Assessment notes</t>
  </si>
  <si>
    <t>Dashboard included</t>
  </si>
  <si>
    <t>R-001</t>
  </si>
  <si>
    <t>Missing MFA</t>
  </si>
  <si>
    <t>Sentinel Defense Solutions' fictional case study identifies that some employees do not have multifactor authentication (MFA) enabled. Source: Project 01 fictional case study. The number of affected accounts and whether privileged accounts are included have not been established.</t>
  </si>
  <si>
    <t>The number and roles of accounts without MFA, identity provider configuration, MFA enforcement policies, exceptions, compensating controls, and historical authentication activity have not been verified. No account compromise or data breach has been established.</t>
  </si>
  <si>
    <t>Pending scope confirmation</t>
  </si>
  <si>
    <t>Identity and access</t>
  </si>
  <si>
    <t>Security owner — proposed</t>
  </si>
  <si>
    <t>Mitigate</t>
  </si>
  <si>
    <t>Pending validation</t>
  </si>
  <si>
    <t>Proposed</t>
  </si>
  <si>
    <t>Provisional assessment: Likelihood 3/5 (Possible) and Impact 4/5 (Major), resulting in a High risk score of 12/25. Inconsistent MFA enforcement increases the possibility of unauthorized account access if credentials are compromised. Potential consequences include exposure of sensitive records, operational disruption, and contractual or financial impacts. Recommend enforcing MFA across applicable accounts, prioritizing privileged access, reviewing approved exceptions, and monitoring authentication activity. Validate through identity-provider configurations, account-level MFA coverage reports, exception records, and relevant authentication logs. No compromise or confirmed control failure beyond the stated MFA gap has been established.</t>
  </si>
  <si>
    <t>R-002</t>
  </si>
  <si>
    <t>Excessive Access Permissions</t>
  </si>
  <si>
    <t>Sentinel Defense Solutions' fictional case scenario identifies concerns that some employees may have access to files beyond their assigned job responsibilities. Source: Project 01 fictional case study.</t>
  </si>
  <si>
    <t>The number of affected employees, specific file repositories, actual permission assignments, sensitivity of accessible records, effectiveness of existing access controls, and frequency of access reviews have not been verified.</t>
  </si>
  <si>
    <t>Customer records, employee PII, contract documentation</t>
  </si>
  <si>
    <t>IT Security Manager — proposed</t>
  </si>
  <si>
    <t>Provisional assessment: Likelihood 3/5 (Possible) and Impact 4/5 (Major), resulting in a High risk score of 12/25. Suspected excessive permissions could allow employees or compromised accounts to access, modify, or disclose sensitive information beyond legitimate business requirements. Recommend validating current permissions against documented job responsibilities, removing unjustified access, enforcing least privilege, and establishing periodic access reviews. Request permission exports, role definitions, access approvals, group memberships, and prior review records. The extent of excessive access, effectiveness of existing controls, and any actual unauthorized disclosure remain unverified.</t>
  </si>
  <si>
    <t>GRC PROJECT 01  /  TRAINING WORKSPACE  /  CONTROL ASSESSMENT  /  EVIDENCE AND APPROVAL PENDING</t>
  </si>
  <si>
    <t>Control ID</t>
  </si>
  <si>
    <t>Proposed control objective</t>
  </si>
  <si>
    <t>Design test plan</t>
  </si>
  <si>
    <t>Operating test plan</t>
  </si>
  <si>
    <t>Design result</t>
  </si>
  <si>
    <t>Operating result</t>
  </si>
  <si>
    <t>Assessor</t>
  </si>
  <si>
    <t>Assessment date</t>
  </si>
  <si>
    <t>Facts / assumptions / notes</t>
  </si>
  <si>
    <t>C-001</t>
  </si>
  <si>
    <t>Enforce MFA on all applicable employee and privileged accounts, with documented exceptions and approved compensating safeguards where necessary.</t>
  </si>
  <si>
    <t>Keep the MFA policy/configuration review, but include enforcement scope, privileged accounts, exceptions, and approved compensating controls.</t>
  </si>
  <si>
    <t>Keep the authentication sampling approach; add checks for new accounts, privileged accounts, exception handling, and dated evidence across the assessment period.</t>
  </si>
  <si>
    <t>Not assessed</t>
  </si>
  <si>
    <t>E-001</t>
  </si>
  <si>
    <t>All control details and tests are proposals. No control failure or effectiveness conclusion has been validated.</t>
  </si>
  <si>
    <t>C-002</t>
  </si>
  <si>
    <t xml:space="preserve">Restrict access to sensitive files according to approved job responsibilities and least-privilege principles. </t>
  </si>
  <si>
    <t>Review access-control policies, role definitions, approval workflows, and permission configurations to determine whether the proposed controls would restrict unnecessary access.</t>
  </si>
  <si>
    <t>After scope confirmation, sample employee accounts and sensitive folders. Compare actual permissions against approved roles and access requests; inspect dated access reviews and remediation records.</t>
  </si>
  <si>
    <t>E-002</t>
  </si>
  <si>
    <t>Proposed least-privilege control. Existing permission restrictions, approval processes, and review effectiveness have not been verified. No control test has been performed.</t>
  </si>
  <si>
    <t>Evidence ID</t>
  </si>
  <si>
    <t>Requested evidence</t>
  </si>
  <si>
    <t>Purpose / proposed coverage</t>
  </si>
  <si>
    <t>Custodian</t>
  </si>
  <si>
    <t>Request date</t>
  </si>
  <si>
    <t>Due date</t>
  </si>
  <si>
    <t>Received date</t>
  </si>
  <si>
    <t>Status</t>
  </si>
  <si>
    <t>Evidence location</t>
  </si>
  <si>
    <t>Reviewer</t>
  </si>
  <si>
    <t>Review notes</t>
  </si>
  <si>
    <t>MFA policy, identity-provider enforcement configurations, account-level MFA coverage report, privileged-account coverage, approved exception register, compensating-control documentation, and dated authentication records.</t>
  </si>
  <si>
    <t>Confirm scope; evaluate design and operating effectiveness. Sampling population and period remain unverified.</t>
  </si>
  <si>
    <t>IT / Identity Administrator - proposed</t>
  </si>
  <si>
    <t>Planned request</t>
  </si>
  <si>
    <t>No evidence received or reviewed. E-001 identifies a planned request only.</t>
  </si>
  <si>
    <t>Current file-permission and group-membership exports, role definitions, approved access requests, historical permission-change records where available, and dated access-review results.</t>
  </si>
  <si>
    <t>Determine whether permissions to sensitive files align with approved job responsibilities and whether unnecessary access is identified and removed.</t>
  </si>
  <si>
    <t>IT / IAM Administrator - proposed, pending confirmation</t>
  </si>
  <si>
    <t>Evidence has not been requested, received, or reviewed. Scope, affected repositories, permissions, and access-review effectiveness remain unverified.</t>
  </si>
  <si>
    <t>Action ID</t>
  </si>
  <si>
    <t>Proposed action</t>
  </si>
  <si>
    <t>Approval status</t>
  </si>
  <si>
    <t>Target date</t>
  </si>
  <si>
    <t>Completed date</t>
  </si>
  <si>
    <t>Closure evidence IDs</t>
  </si>
  <si>
    <t>Closure validation</t>
  </si>
  <si>
    <t>Days overdue</t>
  </si>
  <si>
    <t>Notes / dependencies</t>
  </si>
  <si>
    <t>A-001</t>
  </si>
  <si>
    <t>Confirm MFA coverage and approved exceptions; enforce MFA on applicable employee and privileged accounts; implement approved compensating safeguards where exceptions are necessary; verify enforcement using updated configurations and account-level coverage reports.</t>
  </si>
  <si>
    <t>Security owner - proposed</t>
  </si>
  <si>
    <t>Confirm identity-provider scope, affected accounts, privileged access, and approved exceptions. Obtain risk-owner approval and assign implementation responsibility before scheduling changes. No corrective action or independent closure verification has occurred.</t>
  </si>
  <si>
    <t>A-002</t>
  </si>
  <si>
    <t xml:space="preserve">Review access permissions against approved job responsibilities; identify and remove unjustified access following authorization; establish periodic access reviews; independently verify corrected permissions.   </t>
  </si>
  <si>
    <t>IT / IAM Administrator - proposed</t>
  </si>
  <si>
    <t>Pending approval</t>
  </si>
  <si>
    <t>Confirm affected repositories and roles; obtain data-owner approval for access changes; document authorized exceptions; establish review frequency and closure criteria. No remediation has been performed or verified.</t>
  </si>
  <si>
    <t>Proposed training rubric — requires project approval. Inherent and residual score = likelihood × impact. No residual score is estimated.</t>
  </si>
  <si>
    <t>Level</t>
  </si>
  <si>
    <t>Likelihood (proposed)</t>
  </si>
  <si>
    <t>Impact (proposed)</t>
  </si>
  <si>
    <t>Interpretation</t>
  </si>
  <si>
    <t>Rare</t>
  </si>
  <si>
    <t>Minimal</t>
  </si>
  <si>
    <t>Limited disruption</t>
  </si>
  <si>
    <t>Unlikely</t>
  </si>
  <si>
    <t>Minor</t>
  </si>
  <si>
    <t>Manageable local disruption</t>
  </si>
  <si>
    <t>Possible</t>
  </si>
  <si>
    <t>Meaningful service or business disruption</t>
  </si>
  <si>
    <t>Likely</t>
  </si>
  <si>
    <t>Major</t>
  </si>
  <si>
    <t>Material operational or information harm</t>
  </si>
  <si>
    <t>Almost certain</t>
  </si>
  <si>
    <t>Severe</t>
  </si>
  <si>
    <t>Extensive or sustained business harm</t>
  </si>
  <si>
    <t>Band</t>
  </si>
  <si>
    <t>Minimum score</t>
  </si>
  <si>
    <t>Maximum score</t>
  </si>
  <si>
    <t>Scoring decision | October 14, 2026: Restored user-defined bands: Low 1–5, Moderate 6–11, High 12–19, Critical 20–25. Supersedes High 10–16 / Critical 17–25. Moderate covers 6–11 so the scale has no gaps. R-001: 3 × 4 = 12 High remains simulated and pending validation.</t>
  </si>
  <si>
    <t>Design effectiveness: the policy and configuration could meet the objective if followed. Operating effectiveness: dated evidence shows the control actually worked over an agreed period. Configuration alone does not establish consistent operation.</t>
  </si>
  <si>
    <t>Validation requires a confirmed scope, traceable evidence, documented testing and reviewer approval. A validated status is a user-entered conclusion and must be supported. Proposed owners, treatments and target dates require approval. Risk acceptance requires an authorized decision.</t>
  </si>
  <si>
    <t>01  Start with scope</t>
  </si>
  <si>
    <t>Confirm which applications, accounts and business processes the missing MFA scenario covers. Record confirmed facts and their source separately from assumptions in Risk Register. The only initial source is the user-provided fictional scenario.</t>
  </si>
  <si>
    <t>02  Edit the assessment</t>
  </si>
  <si>
    <t>Use the editable input columns. Scores and ratings calculate automatically. Likelihood and impact accept whole numbers 1–5. Supply both values; blank residual values remain unassessed. Scoring thresholds are proposed and editable on Scoring Methodology.</t>
  </si>
  <si>
    <t>03  Gather and assess evidence</t>
  </si>
  <si>
    <t>E-001 is a planned request, not collected evidence. Fill in real dates, custodian, secure evidence location and reviewer only when known. Use C-001 to document design and operating tests separately. Mark a conclusion validated only after evidence and review support it.</t>
  </si>
  <si>
    <t>04  Agree the response</t>
  </si>
  <si>
    <t>Confirm the proposed security owner and mitigate treatment. Obtain approval, then set a target date. Enter completion only after work occurs; closure validation requires reviewed evidence. Days overdue uses the current date and stays blank without a target.</t>
  </si>
  <si>
    <t>05  Explore the dashboard</t>
  </si>
  <si>
    <t>Use the left sidebar on every page. The current section is highlighted in cyan; Dashboard returns to the overview. Four dedicated columns keep navigation clear of the data. Bottom worksheet tabs remain hidden. Mint dropdowns filter risk views. Native charts include hidden source data and update when inputs change.</t>
  </si>
  <si>
    <t>06  Add records and keep formulas</t>
  </si>
  <si>
    <t>100 prepared rows are available on each tracker (rows 7–106). Fill an existing blank row and retain formula columns. Risk IDs must be unique; use stable IDs to link the trackers. Beyond row 106, extend tables, formulas, validation and dashboard ranges together.</t>
  </si>
  <si>
    <t>07  Input and formula cues</t>
  </si>
  <si>
    <t>Pale blue fields are editable; gray fields calculate. Fixed-choice fields have dropdowns. Ratings use green for Low, yellow for Moderate, red for High and dark red for Critical. Pasted values can bypass validation, so review them. Navigation shapes and the portfolio RQ shield are editable; no macros or passwords are required.</t>
  </si>
  <si>
    <t>08  Substantive inputs still needed</t>
  </si>
  <si>
    <t>Actual affected scope; supporting evidence and assessment period; assessor and reviewer; approved owner and treatment; approved action and target date; tested residual likelihood and impact. Leave these blank or explicitly pending until supplied.</t>
  </si>
  <si>
    <t>SELECT RISK</t>
  </si>
  <si>
    <t>ASSESSMENT WORKSPACE / Risk cards and heatmap follow the filters above. Progress, insights and action priorities below include all records. Planned requests and completed actions do not establish verified closure.</t>
  </si>
  <si>
    <t>ASSESSMENT READINESS / ALL RECORDS</t>
  </si>
  <si>
    <t>CONTROLS ASSESSED</t>
  </si>
  <si>
    <t>EVIDENCE REVIEWED</t>
  </si>
  <si>
    <t>CLOSURES VERIFIED</t>
  </si>
  <si>
    <t>UNSCHEDULED ACTIONS</t>
  </si>
  <si>
    <t>EXECUTIVE INSIGHTS</t>
  </si>
  <si>
    <t>RISK SCORECARD / FIRST 10 REGISTERED RISKS</t>
  </si>
  <si>
    <t>Inherent</t>
  </si>
  <si>
    <t>Validation</t>
  </si>
  <si>
    <t>Controls assessed</t>
  </si>
  <si>
    <t>Evidence reviewed</t>
  </si>
  <si>
    <t>Actions verified</t>
  </si>
  <si>
    <t>EVIDENCE PIPELINE</t>
  </si>
  <si>
    <t>REMEDIATION PROGRESS</t>
  </si>
  <si>
    <t>Open</t>
  </si>
  <si>
    <t>In progress</t>
  </si>
  <si>
    <t>Under review</t>
  </si>
  <si>
    <t>Blocked</t>
  </si>
  <si>
    <t>Completed</t>
  </si>
  <si>
    <t>Stages reflect request workflow. Reviewed evidence still requires a supported validation conclusion.</t>
  </si>
  <si>
    <t>Completed = implementation recorded. Verified = approval + completion date + evidence IDs + validated closure.</t>
  </si>
  <si>
    <t>PRIORITY ACTIONS / TOP 10 UNVERIFIED ACTIONS</t>
  </si>
  <si>
    <t>Ranked by inherent risk score, then overdue status; source order breaks ties. Missing target dates are shown explicitly.</t>
  </si>
  <si>
    <t>Action / Risk</t>
  </si>
  <si>
    <t>Risk score</t>
  </si>
  <si>
    <t>Approval</t>
  </si>
  <si>
    <t>Workflow</t>
  </si>
  <si>
    <t>Next prerequisite</t>
  </si>
  <si>
    <t>Training scenario / Provisional risk ratings are not organization-wide maturity scores. No maturity percentage is inferred.</t>
  </si>
  <si>
    <t>R-003</t>
  </si>
  <si>
    <t>Shared Administrator Accounts</t>
  </si>
  <si>
    <t xml:space="preserve">Provisional assessment: Likelihood 3/5 (Possible) and Impact 4/5 (Major), resulting in a High risk score of 12/25. Shared administrator accounts used by an external IT support vendor may reduce individual accountability and complicate access revocation. Unauthorized use or compromise of privileged credentials could result in system changes, disclosure of accessible information, or operational disruption. Recommend confirming account scope and authorized users, replacing shared access with individually attributable privileged identities where feasible, enforcing appropriate MFA and least privilege, and reviewing privileged activity monitoring. Validate using privileged-account inventories, vendor access approvals, account permissions, MFA configurations, and dated administrative activity records. No unauthorized activity or incident has been established. </t>
  </si>
  <si>
    <t>Sentinel Defense Solutions' fictional case study states that an external IT support vendor uses shared administrator accounts. Source: Project 01 fictional case study. The account privileges, number of users, affected systems, and existing safeguards have not been established.</t>
  </si>
  <si>
    <t xml:space="preserve">The number and identities of vendor personnel using shared administrator accounts, account privileges, affected systems, MFA enforcement, credential-management practices, activity attribution, access approvals, and existing monitoring controls have not been verified. No account compromise, misuse, or security incident has been established. </t>
  </si>
  <si>
    <t xml:space="preserve">                </t>
  </si>
  <si>
    <t xml:space="preserve">Proposed scope: shared vendor administrator accounts, systems managed by the external IT provider, and information accessible through those systems. Actual access scope and data sensitivity require confirmation. </t>
  </si>
  <si>
    <t>IT Security Manager — Proposed</t>
  </si>
  <si>
    <t>C-003</t>
  </si>
  <si>
    <t xml:space="preserve">Ensure external IT vendor administrators use individually attributable, approved privileged access with MFA, least-privilege permissions, and appropriate activity logging and monitoring. Shared administrator credentials should be eliminated where feasible or subject to documented, approved safeguards.  </t>
  </si>
  <si>
    <t>Review the vendor access policy, privileged-account inventory, administrator identity configurations, role definitions, MFA requirements, and access approval procedures. Compare documented requirements and configurations against the control objective to determine whether individual accountability, least privilege, and appropriate safeguards are adequately designed.</t>
  </si>
  <si>
    <t xml:space="preserve">After defining the assessment period and population, select a documented sample of vendor administrator accounts and privileged sessions. Compare each sampled account with approved access records, assigned roles, MFA enforcement records, and privileged activity logs. Determine whether access was individually attributable, authorized, appropriately restricted, and monitored. Record exceptions against predefined criteria. </t>
  </si>
  <si>
    <t>E-003</t>
  </si>
  <si>
    <t>Proposed privileged-access control and test procedures. The fictional scenario establishes use of shared vendor administrator accounts, but actual account privileges, authorized users, MFA enforcement, and monitoring practices remain unverified. No design or operating effectiveness testing has been performed.</t>
  </si>
  <si>
    <t>Privileged-account inventory; vendor administrator personnel roster; account-to-user mappings; role and permission exports; vendor access approval records; MFA enforcement configurations and dated sign-in records; privileged session/activity logs; and documented shared-account exceptions or compensating safeguards, if applicable.</t>
  </si>
  <si>
    <t xml:space="preserve">Privileged-account inventory; vendor administrator personnel roster; account-to-user mappings; role and permission exports; vendor access approval records; MFA enforcement configurations and dated sign-in records; privileged session/activity logs; and documented shared-account exceptions or compensating safeguards, if applicable. </t>
  </si>
  <si>
    <t>Sentinel IT / IAM Administrator and external IT vendor administrator - proposed, pending confirmation.</t>
  </si>
  <si>
    <t>Planned evidence request only. No evidence has been requested, received, or reviewed. Before testing, confirm source-system coverage, record dates, completeness, and reliability; reconcile vendor records with Sentinel account inventories and approvals; investigate missing or inconsistent records. No control effectiveness conclusion has been reached.</t>
  </si>
  <si>
    <t>A-003</t>
  </si>
  <si>
    <t>Sentinel IAM Administrator - proposed</t>
  </si>
  <si>
    <t xml:space="preserve">Confirm the population and scope of vendor privileged accounts; replace shared administrator access with individually attributable, approved accounts where feasible; enforce MFA and least-privilege permissions; disable or appropriately safeguard legacy shared credentials; implement privileged activity logging, periodic access reviews, and timely access revocation. Independently verify the implemented changes before recommending closure. </t>
  </si>
  <si>
    <t>Confirm affected systems, vendor administrator roster, technical compatibility, and operational support requirements. Obtain risk-owner and applicable system-owner approvals before implementation. Coordinate changes with the external IT vendor to prevent service disruption. Define approved exceptions and compensating safeguards where individual accounts are not technically feasible. Closure requires verified account configurations, shared-account disposition, access approvals, MFA enforcement, and attributable privileged activity records. No remediation has been approved, performed, or validated.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</si>
</sst>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7">
    <font>
      <sz val="11"/>
      <name val="Carlito"/>
    </font>
    <font>
      <sz val="11"/>
      <color rgb="FF17243B"/>
      <name val="Arial"/>
    </font>
    <font>
      <b/>
      <sz val="17"/>
      <color rgb="FFFFFFFF"/>
      <name val="Arial"/>
    </font>
    <font>
      <sz val="11"/>
      <color rgb="FFAABAD0"/>
      <name val="Arial"/>
    </font>
    <font>
      <b/>
      <sz val="11"/>
      <color rgb="FFFFFFFF"/>
      <name val="Arial"/>
    </font>
    <font>
      <b/>
      <sz val="17"/>
      <color rgb="FF0B1426"/>
      <name val="Arial"/>
    </font>
    <font>
      <sz val="11"/>
      <color rgb="FF0B1426"/>
      <name val="Arial"/>
    </font>
    <font>
      <sz val="11"/>
      <color rgb="FFFFFFFF"/>
      <name val="Arial"/>
    </font>
    <font>
      <b/>
      <sz val="12"/>
      <color rgb="FF0B1426"/>
      <name val="Arial"/>
    </font>
    <font>
      <sz val="11"/>
      <color rgb="FFEAF6FF"/>
      <name val="Arial"/>
    </font>
    <font>
      <b/>
      <sz val="25"/>
      <color rgb="FFEAF6FF"/>
      <name val="Arial"/>
    </font>
    <font>
      <sz val="10"/>
      <color rgb="FFA5BDD1"/>
      <name val="Arial"/>
    </font>
    <font>
      <sz val="11"/>
      <color rgb="FF081323"/>
      <name val="Arial"/>
    </font>
    <font>
      <b/>
      <sz val="23"/>
      <color rgb="FFEAF6FF"/>
      <name val="Arial"/>
    </font>
    <font>
      <b/>
      <sz val="23"/>
      <color rgb="FFFF8B96"/>
      <name val="Arial"/>
    </font>
    <font>
      <b/>
      <sz val="13"/>
      <color rgb="FFEAF6FF"/>
      <name val="Arial"/>
    </font>
    <font>
      <b/>
      <sz val="14"/>
      <color rgb="FFEAF6FF"/>
      <name val="Arial"/>
    </font>
    <font>
      <b/>
      <sz val="16"/>
      <color rgb="FFEAF6FF"/>
      <name val="Arial"/>
    </font>
    <font>
      <sz val="11"/>
      <color rgb="FF17243B"/>
      <name val="Arial"/>
    </font>
    <font>
      <b/>
      <sz val="10"/>
      <color rgb="FFA5BDD1"/>
      <name val="Arial"/>
      <family val="2"/>
    </font>
    <font>
      <sz val="11"/>
      <color rgb="FF17243B"/>
      <name val="Arial"/>
      <family val="2"/>
    </font>
    <font>
      <b/>
      <sz val="11"/>
      <color rgb="FFA5BDD1"/>
      <name val="Arial"/>
    </font>
    <font>
      <b/>
      <sz val="11"/>
      <color rgb="FF081323"/>
      <name val="Arial"/>
    </font>
    <font>
      <sz val="11"/>
      <color rgb="FFE6F3FF"/>
      <name val="Arial"/>
    </font>
    <font>
      <b/>
      <sz val="12"/>
      <color rgb="FF2DD4BF"/>
      <name val="Arial"/>
    </font>
    <font>
      <b/>
      <sz val="10"/>
      <color rgb="FFA5BDD1"/>
      <name val="Arial"/>
    </font>
    <font>
      <b/>
      <sz val="24"/>
      <color rgb="FF2DD4BF"/>
      <name val="Arial"/>
    </font>
    <font>
      <sz val="11"/>
      <color rgb="FFE6F3FF"/>
      <name val="Arial"/>
    </font>
    <font>
      <sz val="11"/>
      <color rgb="FFFBBF24"/>
      <name val="Arial"/>
    </font>
    <font>
      <sz val="10"/>
      <color rgb="FFFBBF24"/>
      <name val="Arial"/>
    </font>
    <font>
      <sz val="10"/>
      <color rgb="FFE6F3FF"/>
      <name val="Arial"/>
    </font>
    <font>
      <b/>
      <sz val="11"/>
      <color rgb="FF2DD4BF"/>
      <name val="Arial"/>
    </font>
    <font>
      <sz val="10"/>
      <color rgb="FFA5BDD1"/>
      <name val="Arial"/>
    </font>
    <font>
      <b/>
      <sz val="11"/>
      <color rgb="FFA5BDD1"/>
      <name val="Arial"/>
      <family val="2"/>
    </font>
    <font>
      <b/>
      <sz val="11"/>
      <color rgb="FFEAF6FF"/>
      <name val="Arial"/>
      <family val="2"/>
    </font>
    <font>
      <sz val="11"/>
      <color rgb="FFA5BDD1"/>
      <name val="Arial"/>
      <family val="2"/>
    </font>
    <font>
      <sz val="8"/>
      <name val="Carlito"/>
    </font>
  </fonts>
  <fills count="17">
    <fill>
      <patternFill patternType="none"/>
    </fill>
    <fill>
      <patternFill patternType="gray125"/>
    </fill>
    <fill>
      <patternFill patternType="solid">
        <fgColor rgb="FF17243B"/>
      </patternFill>
    </fill>
    <fill>
      <patternFill patternType="solid">
        <fgColor rgb="FFF4F7FB"/>
      </patternFill>
    </fill>
    <fill>
      <patternFill patternType="solid">
        <fgColor rgb="FFE2E8F0"/>
      </patternFill>
    </fill>
    <fill>
      <patternFill patternType="solid">
        <fgColor rgb="FFF0F5FA"/>
      </patternFill>
    </fill>
    <fill>
      <patternFill patternType="solid">
        <fgColor rgb="FFFFFFFF"/>
      </patternFill>
    </fill>
    <fill>
      <patternFill patternType="solid">
        <fgColor rgb="FF081323"/>
      </patternFill>
    </fill>
    <fill>
      <patternFill patternType="solid">
        <fgColor rgb="FFC7FFF4"/>
      </patternFill>
    </fill>
    <fill>
      <patternFill patternType="solid">
        <fgColor rgb="FF14283E"/>
      </patternFill>
    </fill>
    <fill>
      <patternFill patternType="solid">
        <fgColor rgb="FFE93647"/>
      </patternFill>
    </fill>
    <fill>
      <patternFill patternType="solid">
        <fgColor rgb="FF081323"/>
      </patternFill>
    </fill>
    <fill>
      <patternFill patternType="solid">
        <fgColor rgb="FF10263A"/>
      </patternFill>
    </fill>
    <fill>
      <patternFill patternType="solid">
        <fgColor rgb="FF081323"/>
      </patternFill>
    </fill>
    <fill>
      <patternFill patternType="solid">
        <fgColor rgb="FFC7FFF4"/>
      </patternFill>
    </fill>
    <fill>
      <patternFill patternType="solid">
        <fgColor rgb="FF14283E"/>
      </patternFill>
    </fill>
    <fill>
      <patternFill patternType="solid">
        <fgColor rgb="FF102238"/>
      </patternFill>
    </fill>
  </fills>
  <borders count="9">
    <border>
      <left/>
      <right/>
      <top/>
      <bottom/>
      <diagonal/>
    </border>
    <border>
      <left style="thin">
        <color rgb="FF24445E"/>
      </left>
      <right/>
      <top style="thin">
        <color rgb="FF24445E"/>
      </top>
      <bottom/>
      <diagonal/>
    </border>
    <border>
      <left/>
      <right/>
      <top style="thin">
        <color rgb="FF24445E"/>
      </top>
      <bottom/>
      <diagonal/>
    </border>
    <border>
      <left/>
      <right style="thin">
        <color rgb="FF24445E"/>
      </right>
      <top style="thin">
        <color rgb="FF24445E"/>
      </top>
      <bottom/>
      <diagonal/>
    </border>
    <border>
      <left style="thin">
        <color rgb="FF24445E"/>
      </left>
      <right/>
      <top/>
      <bottom/>
      <diagonal/>
    </border>
    <border>
      <left/>
      <right style="thin">
        <color rgb="FF24445E"/>
      </right>
      <top/>
      <bottom/>
      <diagonal/>
    </border>
    <border>
      <left style="thin">
        <color rgb="FF24445E"/>
      </left>
      <right/>
      <top/>
      <bottom style="thin">
        <color rgb="FF24445E"/>
      </bottom>
      <diagonal/>
    </border>
    <border>
      <left/>
      <right/>
      <top/>
      <bottom style="thin">
        <color rgb="FF24445E"/>
      </bottom>
      <diagonal/>
    </border>
    <border>
      <left/>
      <right style="thin">
        <color rgb="FF24445E"/>
      </right>
      <top/>
      <bottom style="thin">
        <color rgb="FF24445E"/>
      </bottom>
      <diagonal/>
    </border>
  </borders>
  <cellStyleXfs count="1">
    <xf numFmtId="0" fontId="0" fillId="0" borderId="0"/>
  </cellStyleXfs>
  <cellXfs count="76">
    <xf numFmtId="0" fontId="0" fillId="0" borderId="0" xfId="0"/>
    <xf numFmtId="0" fontId="1" fillId="0" borderId="0" xfId="0" applyFont="1" applyAlignment="1">
      <alignment vertical="center"/>
    </xf>
    <xf numFmtId="0" fontId="4"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164" fontId="1" fillId="3" borderId="0" xfId="0" applyNumberFormat="1" applyFont="1" applyFill="1" applyAlignment="1">
      <alignment vertical="center" wrapText="1"/>
    </xf>
    <xf numFmtId="0" fontId="7" fillId="2" borderId="0" xfId="0" applyFont="1" applyFill="1" applyAlignment="1">
      <alignment vertical="center"/>
    </xf>
    <xf numFmtId="0" fontId="7" fillId="2" borderId="0" xfId="0" applyFont="1" applyFill="1" applyAlignment="1">
      <alignment vertical="center" wrapText="1"/>
    </xf>
    <xf numFmtId="0" fontId="1" fillId="0" borderId="0" xfId="0" applyFont="1" applyAlignment="1">
      <alignment vertical="center" wrapText="1"/>
    </xf>
    <xf numFmtId="0" fontId="9" fillId="7" borderId="0" xfId="0" applyFont="1" applyFill="1" applyAlignment="1">
      <alignment vertical="center"/>
    </xf>
    <xf numFmtId="0" fontId="9" fillId="7" borderId="0" xfId="0" applyFont="1" applyFill="1" applyAlignment="1">
      <alignment horizontal="center" vertical="center"/>
    </xf>
    <xf numFmtId="0" fontId="16" fillId="9" borderId="0" xfId="0" applyFont="1" applyFill="1" applyAlignment="1">
      <alignment horizontal="center" vertical="center"/>
    </xf>
    <xf numFmtId="0" fontId="9" fillId="11" borderId="0" xfId="0" applyFont="1" applyFill="1" applyAlignment="1">
      <alignment vertical="center"/>
    </xf>
    <xf numFmtId="0" fontId="10" fillId="11" borderId="0" xfId="0" applyFont="1" applyFill="1" applyAlignment="1">
      <alignment vertical="center" wrapText="1"/>
    </xf>
    <xf numFmtId="0" fontId="2" fillId="11" borderId="0" xfId="0" applyFont="1" applyFill="1" applyAlignment="1">
      <alignment vertical="center" wrapText="1"/>
    </xf>
    <xf numFmtId="0" fontId="3" fillId="11" borderId="0" xfId="0" applyFont="1" applyFill="1" applyAlignment="1">
      <alignment vertical="center" wrapText="1"/>
    </xf>
    <xf numFmtId="0" fontId="1" fillId="11" borderId="0" xfId="0" applyFont="1" applyFill="1" applyAlignment="1">
      <alignment vertical="center"/>
    </xf>
    <xf numFmtId="0" fontId="5" fillId="11" borderId="0" xfId="0" applyFont="1" applyFill="1" applyAlignment="1">
      <alignment vertical="center" wrapText="1"/>
    </xf>
    <xf numFmtId="0" fontId="0" fillId="12" borderId="0" xfId="0" applyFill="1"/>
    <xf numFmtId="0" fontId="19" fillId="7" borderId="0" xfId="0" applyFont="1" applyFill="1" applyAlignment="1">
      <alignment vertical="center" wrapText="1"/>
    </xf>
    <xf numFmtId="0" fontId="1" fillId="3" borderId="0" xfId="0" applyFont="1" applyFill="1" applyAlignment="1" applyProtection="1">
      <alignment vertical="top" wrapText="1"/>
      <protection locked="0"/>
    </xf>
    <xf numFmtId="164" fontId="1" fillId="3" borderId="0" xfId="0" applyNumberFormat="1" applyFont="1" applyFill="1" applyAlignment="1" applyProtection="1">
      <alignment vertical="top" wrapText="1"/>
      <protection locked="0"/>
    </xf>
    <xf numFmtId="0" fontId="0" fillId="0" borderId="0" xfId="0" applyAlignment="1">
      <alignment wrapText="1"/>
    </xf>
    <xf numFmtId="0" fontId="20" fillId="3" borderId="0" xfId="0" applyFont="1" applyFill="1" applyAlignment="1" applyProtection="1">
      <alignment vertical="top" wrapText="1"/>
      <protection locked="0"/>
    </xf>
    <xf numFmtId="0" fontId="20" fillId="3" borderId="0" xfId="0" applyFont="1" applyFill="1" applyAlignment="1">
      <alignment vertical="center" wrapText="1"/>
    </xf>
    <xf numFmtId="0" fontId="23" fillId="13" borderId="0" xfId="0" applyFont="1" applyFill="1" applyAlignment="1">
      <alignment vertical="center"/>
    </xf>
    <xf numFmtId="0" fontId="34" fillId="7" borderId="0" xfId="0" applyFont="1" applyFill="1" applyAlignment="1">
      <alignment vertical="center"/>
    </xf>
    <xf numFmtId="0" fontId="30" fillId="16" borderId="0" xfId="0" applyFont="1" applyFill="1" applyAlignment="1">
      <alignment horizontal="left" vertical="center" wrapText="1"/>
    </xf>
    <xf numFmtId="0" fontId="32" fillId="13" borderId="0" xfId="0" applyFont="1" applyFill="1" applyAlignment="1">
      <alignment horizontal="left" vertical="center" wrapText="1"/>
    </xf>
    <xf numFmtId="0" fontId="0" fillId="12" borderId="0" xfId="0" applyFill="1" applyAlignment="1">
      <alignment horizontal="center"/>
    </xf>
    <xf numFmtId="0" fontId="30" fillId="15" borderId="0" xfId="0" applyFont="1" applyFill="1" applyAlignment="1">
      <alignment horizontal="left" vertical="center" wrapText="1"/>
    </xf>
    <xf numFmtId="0" fontId="32" fillId="15" borderId="0" xfId="0" applyFont="1" applyFill="1" applyAlignment="1">
      <alignment horizontal="left" vertical="center" wrapText="1"/>
    </xf>
    <xf numFmtId="0" fontId="24" fillId="13" borderId="0" xfId="0" applyFont="1" applyFill="1" applyAlignment="1">
      <alignment horizontal="left" vertical="center" wrapText="1"/>
    </xf>
    <xf numFmtId="0" fontId="27" fillId="15" borderId="0" xfId="0" applyFont="1" applyFill="1" applyAlignment="1">
      <alignment horizontal="left" vertical="center" wrapText="1"/>
    </xf>
    <xf numFmtId="0" fontId="31" fillId="15" borderId="0" xfId="0" applyFont="1" applyFill="1" applyAlignment="1">
      <alignment horizontal="left" vertical="center" wrapText="1"/>
    </xf>
    <xf numFmtId="0" fontId="28" fillId="15" borderId="0" xfId="0" applyFont="1" applyFill="1" applyAlignment="1">
      <alignment horizontal="left" vertical="center" wrapText="1"/>
    </xf>
    <xf numFmtId="0" fontId="29" fillId="13" borderId="0" xfId="0" applyFont="1" applyFill="1" applyAlignment="1">
      <alignment horizontal="left" vertical="center" wrapText="1"/>
    </xf>
    <xf numFmtId="0" fontId="21" fillId="13" borderId="0" xfId="0" applyFont="1" applyFill="1" applyAlignment="1">
      <alignment horizontal="left" vertical="center" wrapText="1"/>
    </xf>
    <xf numFmtId="0" fontId="22" fillId="14" borderId="0" xfId="0" applyFont="1" applyFill="1" applyAlignment="1">
      <alignment horizontal="left" vertical="center" wrapText="1"/>
    </xf>
    <xf numFmtId="0" fontId="25" fillId="15" borderId="0" xfId="0" applyFont="1" applyFill="1" applyAlignment="1">
      <alignment horizontal="left" vertical="center" wrapText="1"/>
    </xf>
    <xf numFmtId="0" fontId="26" fillId="15" borderId="0" xfId="0" applyFont="1" applyFill="1" applyAlignment="1">
      <alignment horizontal="left" vertical="center" wrapText="1"/>
    </xf>
    <xf numFmtId="0" fontId="33" fillId="9" borderId="0" xfId="0" applyFont="1" applyFill="1" applyAlignment="1">
      <alignment vertical="center" wrapText="1"/>
    </xf>
    <xf numFmtId="0" fontId="19" fillId="7" borderId="0" xfId="0" applyFont="1" applyFill="1" applyAlignment="1">
      <alignment vertical="center" wrapText="1"/>
    </xf>
    <xf numFmtId="0" fontId="15" fillId="7" borderId="0" xfId="0" applyFont="1" applyFill="1" applyAlignment="1">
      <alignment vertical="center" wrapText="1"/>
    </xf>
    <xf numFmtId="0" fontId="11" fillId="7" borderId="0" xfId="0" applyFont="1" applyFill="1" applyAlignment="1">
      <alignment vertical="center" wrapText="1"/>
    </xf>
    <xf numFmtId="0" fontId="19" fillId="9" borderId="1" xfId="0" applyFont="1" applyFill="1" applyBorder="1" applyAlignment="1">
      <alignment vertical="center" wrapText="1"/>
    </xf>
    <xf numFmtId="0" fontId="19" fillId="9" borderId="2" xfId="0" applyFont="1" applyFill="1" applyBorder="1" applyAlignment="1">
      <alignment vertical="center" wrapText="1"/>
    </xf>
    <xf numFmtId="0" fontId="19" fillId="9" borderId="3" xfId="0" applyFont="1" applyFill="1" applyBorder="1" applyAlignment="1">
      <alignment vertical="center" wrapText="1"/>
    </xf>
    <xf numFmtId="0" fontId="19" fillId="9" borderId="4" xfId="0" applyFont="1" applyFill="1" applyBorder="1" applyAlignment="1">
      <alignment vertical="center" wrapText="1"/>
    </xf>
    <xf numFmtId="0" fontId="19" fillId="9" borderId="0" xfId="0" applyFont="1" applyFill="1" applyAlignment="1">
      <alignment vertical="center" wrapText="1"/>
    </xf>
    <xf numFmtId="0" fontId="19" fillId="9" borderId="5" xfId="0" applyFont="1" applyFill="1" applyBorder="1" applyAlignment="1">
      <alignment vertical="center" wrapText="1"/>
    </xf>
    <xf numFmtId="0" fontId="13" fillId="9" borderId="4" xfId="0" applyFont="1" applyFill="1" applyBorder="1" applyAlignment="1">
      <alignment vertical="center" wrapText="1"/>
    </xf>
    <xf numFmtId="0" fontId="13" fillId="9" borderId="0" xfId="0" applyFont="1" applyFill="1" applyAlignment="1">
      <alignment vertical="center" wrapText="1"/>
    </xf>
    <xf numFmtId="0" fontId="13" fillId="9" borderId="5" xfId="0" applyFont="1" applyFill="1" applyBorder="1" applyAlignment="1">
      <alignment vertical="center" wrapText="1"/>
    </xf>
    <xf numFmtId="0" fontId="13" fillId="9" borderId="6"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4" fillId="9" borderId="4" xfId="0" applyFont="1" applyFill="1" applyBorder="1" applyAlignment="1">
      <alignment vertical="center" wrapText="1"/>
    </xf>
    <xf numFmtId="0" fontId="14" fillId="9" borderId="0" xfId="0" applyFont="1" applyFill="1" applyAlignment="1">
      <alignment vertical="center" wrapText="1"/>
    </xf>
    <xf numFmtId="0" fontId="14" fillId="9" borderId="5" xfId="0" applyFont="1" applyFill="1" applyBorder="1" applyAlignment="1">
      <alignment vertical="center" wrapText="1"/>
    </xf>
    <xf numFmtId="0" fontId="14" fillId="9" borderId="6" xfId="0" applyFont="1" applyFill="1" applyBorder="1" applyAlignment="1">
      <alignment vertical="center" wrapText="1"/>
    </xf>
    <xf numFmtId="0" fontId="14" fillId="9" borderId="7" xfId="0" applyFont="1" applyFill="1" applyBorder="1" applyAlignment="1">
      <alignment vertical="center" wrapText="1"/>
    </xf>
    <xf numFmtId="0" fontId="14" fillId="9" borderId="8" xfId="0" applyFont="1" applyFill="1" applyBorder="1" applyAlignment="1">
      <alignment vertical="center" wrapText="1"/>
    </xf>
    <xf numFmtId="0" fontId="19" fillId="7" borderId="0" xfId="0" applyFont="1" applyFill="1" applyAlignment="1">
      <alignment horizontal="center" vertical="center" wrapText="1"/>
    </xf>
    <xf numFmtId="0" fontId="12" fillId="8" borderId="0" xfId="0" applyFont="1" applyFill="1" applyAlignment="1">
      <alignment horizontal="left" vertical="center" wrapText="1"/>
    </xf>
    <xf numFmtId="0" fontId="12" fillId="8" borderId="0" xfId="0" applyFont="1" applyFill="1" applyAlignment="1">
      <alignment vertical="center" wrapText="1"/>
    </xf>
    <xf numFmtId="0" fontId="19" fillId="7" borderId="0" xfId="0" applyFont="1" applyFill="1" applyAlignment="1">
      <alignment horizontal="left" vertical="center" wrapText="1"/>
    </xf>
    <xf numFmtId="0" fontId="17" fillId="9" borderId="0" xfId="0" applyFont="1" applyFill="1" applyAlignment="1">
      <alignment vertical="center" wrapText="1"/>
    </xf>
    <xf numFmtId="0" fontId="17" fillId="10" borderId="0" xfId="0" applyFont="1" applyFill="1" applyAlignment="1">
      <alignment vertical="center" wrapText="1"/>
    </xf>
    <xf numFmtId="0" fontId="35" fillId="9" borderId="0" xfId="0" applyFont="1" applyFill="1" applyAlignment="1">
      <alignment vertical="center" wrapText="1"/>
    </xf>
    <xf numFmtId="0" fontId="6" fillId="0" borderId="0" xfId="0" applyFont="1" applyAlignment="1">
      <alignment vertical="center" wrapText="1"/>
    </xf>
    <xf numFmtId="0" fontId="18" fillId="0" borderId="0" xfId="0" applyFont="1" applyAlignment="1">
      <alignment vertical="center" wrapText="1"/>
    </xf>
    <xf numFmtId="0" fontId="1" fillId="5" borderId="0" xfId="0" applyFont="1" applyFill="1" applyAlignment="1">
      <alignment vertical="center" wrapText="1"/>
    </xf>
    <xf numFmtId="0" fontId="6" fillId="5" borderId="0" xfId="0" applyFont="1" applyFill="1" applyAlignment="1">
      <alignment vertical="center" wrapText="1"/>
    </xf>
    <xf numFmtId="0" fontId="8" fillId="0" borderId="0" xfId="0" applyFont="1" applyAlignment="1">
      <alignment vertical="center" wrapText="1"/>
    </xf>
    <xf numFmtId="0" fontId="6" fillId="6" borderId="0" xfId="0" applyFont="1" applyFill="1" applyAlignment="1">
      <alignment vertical="center" wrapText="1"/>
    </xf>
  </cellXfs>
  <cellStyles count="1">
    <cellStyle name="Normal" xfId="0" builtinId="0"/>
  </cellStyles>
  <dxfs count="40">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475569"/>
      </font>
      <fill>
        <patternFill>
          <bgColor rgb="FFE2E8F0"/>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FFFFFF"/>
      </font>
      <fill>
        <patternFill>
          <bgColor rgb="FF7F1D1D"/>
        </patternFill>
      </fill>
    </dxf>
    <dxf>
      <font>
        <color rgb="FFFFFFFF"/>
      </font>
      <fill>
        <patternFill>
          <bgColor rgb="FFDC2626"/>
        </patternFill>
      </fill>
    </dxf>
    <dxf>
      <font>
        <color rgb="FF713F12"/>
      </font>
      <fill>
        <patternFill>
          <bgColor rgb="FFFDE047"/>
        </patternFill>
      </fill>
    </dxf>
    <dxf>
      <font>
        <color rgb="FFFFFFFF"/>
      </font>
      <fill>
        <patternFill>
          <bgColor rgb="FF16653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Inherent risk distribution — filtered risks</a:t>
            </a:r>
          </a:p>
        </c:rich>
      </c:tx>
      <c:overlay val="0"/>
    </c:title>
    <c:autoTitleDeleted val="0"/>
    <c:plotArea>
      <c:layout/>
      <c:barChart>
        <c:barDir val="col"/>
        <c:grouping val="clustered"/>
        <c:varyColors val="0"/>
        <c:ser>
          <c:idx val="0"/>
          <c:order val="0"/>
          <c:tx>
            <c:v>Risks</c:v>
          </c:tx>
          <c:spPr>
            <a:solidFill>
              <a:srgbClr val="F04452"/>
            </a:solidFill>
          </c:spPr>
          <c:invertIfNegative val="0"/>
          <c:cat>
            <c:strRef>
              <c:f>Dashboard!$AE$3:$AE$6</c:f>
              <c:strCache>
                <c:ptCount val="4"/>
                <c:pt idx="0">
                  <c:v>Low</c:v>
                </c:pt>
                <c:pt idx="1">
                  <c:v>Moderate</c:v>
                </c:pt>
                <c:pt idx="2">
                  <c:v>High</c:v>
                </c:pt>
                <c:pt idx="3">
                  <c:v>Critical</c:v>
                </c:pt>
              </c:strCache>
            </c:strRef>
          </c:cat>
          <c:val>
            <c:numRef>
              <c:f>Dashboard!$AF$3:$AF$6</c:f>
              <c:numCache>
                <c:formatCode>General</c:formatCode>
                <c:ptCount val="4"/>
                <c:pt idx="0">
                  <c:v>0</c:v>
                </c:pt>
                <c:pt idx="1">
                  <c:v>0</c:v>
                </c:pt>
                <c:pt idx="2">
                  <c:v>3</c:v>
                </c:pt>
                <c:pt idx="3">
                  <c:v>0</c:v>
                </c:pt>
              </c:numCache>
            </c:numRef>
          </c:val>
          <c:extLst>
            <c:ext xmlns:c16="http://schemas.microsoft.com/office/drawing/2014/chart" uri="{C3380CC4-5D6E-409C-BE32-E72D297353CC}">
              <c16:uniqueId val="{00000000-9115-4590-8E20-505A5579E7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Evidence requests — all records</a:t>
            </a:r>
          </a:p>
        </c:rich>
      </c:tx>
      <c:overlay val="0"/>
    </c:title>
    <c:autoTitleDeleted val="0"/>
    <c:plotArea>
      <c:layout/>
      <c:barChart>
        <c:barDir val="col"/>
        <c:grouping val="clustered"/>
        <c:varyColors val="0"/>
        <c:ser>
          <c:idx val="0"/>
          <c:order val="0"/>
          <c:tx>
            <c:v>Requests</c:v>
          </c:tx>
          <c:spPr>
            <a:solidFill>
              <a:srgbClr val="0CBAB0"/>
            </a:solidFill>
          </c:spPr>
          <c:invertIfNegative val="0"/>
          <c:cat>
            <c:strRef>
              <c:f>Dashboard!$AE$10:$AE$14</c:f>
              <c:strCache>
                <c:ptCount val="5"/>
                <c:pt idx="0">
                  <c:v>Planned</c:v>
                </c:pt>
                <c:pt idx="1">
                  <c:v>Requested</c:v>
                </c:pt>
                <c:pt idx="2">
                  <c:v>Received</c:v>
                </c:pt>
                <c:pt idx="3">
                  <c:v>In review</c:v>
                </c:pt>
                <c:pt idx="4">
                  <c:v>Reviewed</c:v>
                </c:pt>
              </c:strCache>
            </c:strRef>
          </c:cat>
          <c:val>
            <c:numRef>
              <c:f>Dashboard!$AF$10:$AF$14</c:f>
              <c:numCache>
                <c:formatCode>General</c:formatCode>
                <c:ptCount val="5"/>
                <c:pt idx="0">
                  <c:v>3</c:v>
                </c:pt>
                <c:pt idx="1">
                  <c:v>0</c:v>
                </c:pt>
                <c:pt idx="2">
                  <c:v>0</c:v>
                </c:pt>
                <c:pt idx="3">
                  <c:v>0</c:v>
                </c:pt>
                <c:pt idx="4">
                  <c:v>0</c:v>
                </c:pt>
              </c:numCache>
            </c:numRef>
          </c:val>
          <c:extLst>
            <c:ext xmlns:c16="http://schemas.microsoft.com/office/drawing/2014/chart" uri="{C3380CC4-5D6E-409C-BE32-E72D297353CC}">
              <c16:uniqueId val="{00000000-A2B3-405B-8B4D-1FF1DD4ABC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hyperlink" Target="#'Scoring Methodology'!A1"/><Relationship Id="rId3" Type="http://schemas.openxmlformats.org/officeDocument/2006/relationships/hyperlink" Target="#'Dashboard'!A1"/><Relationship Id="rId7" Type="http://schemas.openxmlformats.org/officeDocument/2006/relationships/hyperlink" Target="#'Remediation Tracker'!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Evidence Tracker'!A1"/><Relationship Id="rId5" Type="http://schemas.openxmlformats.org/officeDocument/2006/relationships/hyperlink" Target="#'Control Assessment'!A1"/><Relationship Id="rId10" Type="http://schemas.openxmlformats.org/officeDocument/2006/relationships/image" Target="../media/image1.png"/><Relationship Id="rId4" Type="http://schemas.openxmlformats.org/officeDocument/2006/relationships/hyperlink" Target="#'Risk Register'!A1"/><Relationship Id="rId9" Type="http://schemas.openxmlformats.org/officeDocument/2006/relationships/hyperlink" Target="#'Instructions'!A1"/></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3.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4.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5.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6.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7.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drawing1.xml><?xml version="1.0" encoding="utf-8"?>
<xdr:wsDr xmlns:xdr="http://schemas.openxmlformats.org/drawingml/2006/spreadsheetDrawing" xmlns:a="http://schemas.openxmlformats.org/drawingml/2006/main">
  <xdr:twoCellAnchor>
    <xdr:from>
      <xdr:col>5</xdr:col>
      <xdr:colOff>0</xdr:colOff>
      <xdr:row>15</xdr:row>
      <xdr:rowOff>0</xdr:rowOff>
    </xdr:from>
    <xdr:to>
      <xdr:col>16</xdr:col>
      <xdr:colOff>0</xdr:colOff>
      <xdr:row>27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30</xdr:row>
      <xdr:rowOff>0</xdr:rowOff>
    </xdr:from>
    <xdr:to>
      <xdr:col>16</xdr:col>
      <xdr:colOff>0</xdr:colOff>
      <xdr:row>41</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546100</xdr:colOff>
      <xdr:row>0</xdr:row>
      <xdr:rowOff>66675</xdr:rowOff>
    </xdr:from>
    <xdr:to>
      <xdr:col>27</xdr:col>
      <xdr:colOff>527050</xdr:colOff>
      <xdr:row>1</xdr:row>
      <xdr:rowOff>314325</xdr:rowOff>
    </xdr:to>
    <xdr:sp macro="" textlink="">
      <xdr:nvSpPr>
        <xdr:cNvPr id="4" name="TITLE|Sentinel Defense Solutions">
          <a:extLst>
            <a:ext uri="{FF2B5EF4-FFF2-40B4-BE49-F238E27FC236}">
              <a16:creationId xmlns:a16="http://schemas.microsoft.com/office/drawing/2014/main" id="{00000000-0008-0000-0000-000004000000}"/>
            </a:ext>
          </a:extLst>
        </xdr:cNvPr>
        <xdr:cNvSpPr>
          <a:spLocks noGrp="1"/>
        </xdr:cNvSpPr>
      </xdr:nvSpPr>
      <xdr:spPr>
        <a:xfrm>
          <a:off x="2222500" y="66675"/>
          <a:ext cx="12801600" cy="609600"/>
        </a:xfrm>
        <a:prstGeom prst="rect">
          <a:avLst/>
        </a:prstGeom>
        <a:solidFill>
          <a:srgbClr val="081323"/>
        </a:solidFill>
        <a:ln w="0">
          <a:solidFill>
            <a:srgbClr val="081323"/>
          </a:solidFill>
        </a:ln>
      </xdr:spPr>
      <xdr:txBody>
        <a:bodyPr wrap="square" lIns="0" tIns="0" rIns="0" bIns="0" anchor="ctr"/>
        <a:lstStyle/>
        <a:p>
          <a:pPr algn="ctr"/>
          <a:r>
            <a:rPr lang="en-US" sz="3200" b="1">
              <a:solidFill>
                <a:srgbClr val="EAF6FF"/>
              </a:solidFill>
              <a:latin typeface="Arial"/>
            </a:rPr>
            <a:t>Sentinel Defense Solutions</a:t>
          </a:r>
        </a:p>
      </xdr:txBody>
    </xdr:sp>
    <xdr:clientData/>
  </xdr:twoCellAnchor>
  <xdr:oneCellAnchor>
    <xdr:from>
      <xdr:col>0</xdr:col>
      <xdr:colOff>76200</xdr:colOff>
      <xdr:row>3</xdr:row>
      <xdr:rowOff>19050</xdr:rowOff>
    </xdr:from>
    <xdr:ext cx="1981200" cy="381000"/>
    <xdr:sp macro="" textlink="">
      <xdr:nvSpPr>
        <xdr:cNvPr id="5" name="BRAND|CYBERSECURITY&#10;GRC PORTFOLIO">
          <a:extLst>
            <a:ext uri="{FF2B5EF4-FFF2-40B4-BE49-F238E27FC236}">
              <a16:creationId xmlns:a16="http://schemas.microsoft.com/office/drawing/2014/main" id="{00000000-0008-0000-0000-000005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6</xdr:row>
      <xdr:rowOff>19050</xdr:rowOff>
    </xdr:from>
    <xdr:ext cx="1866900" cy="457200"/>
    <xdr:sp macro="" textlink="">
      <xdr:nvSpPr>
        <xdr:cNvPr id="6" name="NAV|Dashboard|01  Dashboard" descr="Dashboard navigation: Dashboard (current page)">
          <a:hlinkClick xmlns:r="http://schemas.openxmlformats.org/officeDocument/2006/relationships" r:id="rId3" tooltip="Open Dashboard"/>
          <a:extLst>
            <a:ext uri="{FF2B5EF4-FFF2-40B4-BE49-F238E27FC236}">
              <a16:creationId xmlns:a16="http://schemas.microsoft.com/office/drawing/2014/main" id="{00000000-0008-0000-0000-000006000000}"/>
            </a:ext>
          </a:extLst>
        </xdr:cNvPr>
        <xdr:cNvSpPr>
          <a:spLocks noGrp="1"/>
        </xdr:cNvSpPr>
      </xdr:nvSpPr>
      <xdr:spPr>
        <a:xfrm>
          <a:off x="133350" y="16573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01  Dashboard</a:t>
          </a:r>
        </a:p>
      </xdr:txBody>
    </xdr:sp>
    <xdr:clientData/>
  </xdr:oneCellAnchor>
  <xdr:twoCellAnchor editAs="absolute">
    <xdr:from>
      <xdr:col>0</xdr:col>
      <xdr:colOff>133350</xdr:colOff>
      <xdr:row>8</xdr:row>
      <xdr:rowOff>114300</xdr:rowOff>
    </xdr:from>
    <xdr:to>
      <xdr:col>3</xdr:col>
      <xdr:colOff>323850</xdr:colOff>
      <xdr:row>10</xdr:row>
      <xdr:rowOff>38100</xdr:rowOff>
    </xdr:to>
    <xdr:sp macro="" textlink="">
      <xdr:nvSpPr>
        <xdr:cNvPr id="7" name="NAV|Risk Register|02  Risk register" descr="Dashboard navigation: Risk Register">
          <a:hlinkClick xmlns:r="http://schemas.openxmlformats.org/officeDocument/2006/relationships" r:id="rId4" tooltip="Open Risk Register"/>
          <a:extLst>
            <a:ext uri="{FF2B5EF4-FFF2-40B4-BE49-F238E27FC236}">
              <a16:creationId xmlns:a16="http://schemas.microsoft.com/office/drawing/2014/main" id="{00000000-0008-0000-0000-000007000000}"/>
            </a:ext>
          </a:extLst>
        </xdr:cNvPr>
        <xdr:cNvSpPr>
          <a:spLocks noGrp="1"/>
        </xdr:cNvSpPr>
      </xdr:nvSpPr>
      <xdr:spPr>
        <a:xfrm>
          <a:off x="133350" y="228600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10</xdr:row>
      <xdr:rowOff>209550</xdr:rowOff>
    </xdr:from>
    <xdr:to>
      <xdr:col>3</xdr:col>
      <xdr:colOff>323850</xdr:colOff>
      <xdr:row>12</xdr:row>
      <xdr:rowOff>133350</xdr:rowOff>
    </xdr:to>
    <xdr:sp macro="" textlink="">
      <xdr:nvSpPr>
        <xdr:cNvPr id="8" name="NAV|Control Assessment|03  Controls" descr="Dashboard navigation: Control Assessment">
          <a:hlinkClick xmlns:r="http://schemas.openxmlformats.org/officeDocument/2006/relationships" r:id="rId5" tooltip="Open Control Assessment"/>
          <a:extLst>
            <a:ext uri="{FF2B5EF4-FFF2-40B4-BE49-F238E27FC236}">
              <a16:creationId xmlns:a16="http://schemas.microsoft.com/office/drawing/2014/main" id="{00000000-0008-0000-0000-000008000000}"/>
            </a:ext>
          </a:extLst>
        </xdr:cNvPr>
        <xdr:cNvSpPr>
          <a:spLocks noGrp="1"/>
        </xdr:cNvSpPr>
      </xdr:nvSpPr>
      <xdr:spPr>
        <a:xfrm>
          <a:off x="133350" y="291465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13</xdr:row>
      <xdr:rowOff>38100</xdr:rowOff>
    </xdr:from>
    <xdr:to>
      <xdr:col>3</xdr:col>
      <xdr:colOff>323850</xdr:colOff>
      <xdr:row>14</xdr:row>
      <xdr:rowOff>228600</xdr:rowOff>
    </xdr:to>
    <xdr:sp macro="" textlink="">
      <xdr:nvSpPr>
        <xdr:cNvPr id="9" name="NAV|Evidence Tracker|04  Evidence" descr="Dashboard navigation: Evidence Tracker">
          <a:hlinkClick xmlns:r="http://schemas.openxmlformats.org/officeDocument/2006/relationships" r:id="rId6" tooltip="Open Evidence Tracker"/>
          <a:extLst>
            <a:ext uri="{FF2B5EF4-FFF2-40B4-BE49-F238E27FC236}">
              <a16:creationId xmlns:a16="http://schemas.microsoft.com/office/drawing/2014/main" id="{00000000-0008-0000-0000-000009000000}"/>
            </a:ext>
          </a:extLst>
        </xdr:cNvPr>
        <xdr:cNvSpPr>
          <a:spLocks noGrp="1"/>
        </xdr:cNvSpPr>
      </xdr:nvSpPr>
      <xdr:spPr>
        <a:xfrm>
          <a:off x="133350" y="354330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15</xdr:row>
      <xdr:rowOff>133350</xdr:rowOff>
    </xdr:from>
    <xdr:to>
      <xdr:col>3</xdr:col>
      <xdr:colOff>323850</xdr:colOff>
      <xdr:row>17</xdr:row>
      <xdr:rowOff>57150</xdr:rowOff>
    </xdr:to>
    <xdr:sp macro="" textlink="">
      <xdr:nvSpPr>
        <xdr:cNvPr id="10" name="NAV|Remediation Tracker|05  Remediation" descr="Dashboard navigation: Remediation Tracker">
          <a:hlinkClick xmlns:r="http://schemas.openxmlformats.org/officeDocument/2006/relationships" r:id="rId7" tooltip="Open Remediation Tracker"/>
          <a:extLst>
            <a:ext uri="{FF2B5EF4-FFF2-40B4-BE49-F238E27FC236}">
              <a16:creationId xmlns:a16="http://schemas.microsoft.com/office/drawing/2014/main" id="{00000000-0008-0000-0000-00000A000000}"/>
            </a:ext>
          </a:extLst>
        </xdr:cNvPr>
        <xdr:cNvSpPr>
          <a:spLocks noGrp="1"/>
        </xdr:cNvSpPr>
      </xdr:nvSpPr>
      <xdr:spPr>
        <a:xfrm>
          <a:off x="133350" y="417195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17</xdr:row>
      <xdr:rowOff>228600</xdr:rowOff>
    </xdr:from>
    <xdr:to>
      <xdr:col>3</xdr:col>
      <xdr:colOff>323850</xdr:colOff>
      <xdr:row>19</xdr:row>
      <xdr:rowOff>152400</xdr:rowOff>
    </xdr:to>
    <xdr:sp macro="" textlink="">
      <xdr:nvSpPr>
        <xdr:cNvPr id="11" name="NAV|Scoring Methodology|06  Scoring" descr="Dashboard navigation: Scoring Methodology">
          <a:hlinkClick xmlns:r="http://schemas.openxmlformats.org/officeDocument/2006/relationships" r:id="rId8" tooltip="Open Scoring Methodology"/>
          <a:extLst>
            <a:ext uri="{FF2B5EF4-FFF2-40B4-BE49-F238E27FC236}">
              <a16:creationId xmlns:a16="http://schemas.microsoft.com/office/drawing/2014/main" id="{00000000-0008-0000-0000-00000B000000}"/>
            </a:ext>
          </a:extLst>
        </xdr:cNvPr>
        <xdr:cNvSpPr>
          <a:spLocks noGrp="1"/>
        </xdr:cNvSpPr>
      </xdr:nvSpPr>
      <xdr:spPr>
        <a:xfrm>
          <a:off x="133350" y="480060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20</xdr:row>
      <xdr:rowOff>57150</xdr:rowOff>
    </xdr:from>
    <xdr:to>
      <xdr:col>3</xdr:col>
      <xdr:colOff>323850</xdr:colOff>
      <xdr:row>21</xdr:row>
      <xdr:rowOff>247650</xdr:rowOff>
    </xdr:to>
    <xdr:sp macro="" textlink="">
      <xdr:nvSpPr>
        <xdr:cNvPr id="12" name="NAV|Instructions|07  Guide" descr="Dashboard navigation: Instructions">
          <a:hlinkClick xmlns:r="http://schemas.openxmlformats.org/officeDocument/2006/relationships" r:id="rId9" tooltip="Open Instructions"/>
          <a:extLst>
            <a:ext uri="{FF2B5EF4-FFF2-40B4-BE49-F238E27FC236}">
              <a16:creationId xmlns:a16="http://schemas.microsoft.com/office/drawing/2014/main" id="{00000000-0008-0000-0000-00000C000000}"/>
            </a:ext>
          </a:extLst>
        </xdr:cNvPr>
        <xdr:cNvSpPr>
          <a:spLocks noGrp="1"/>
        </xdr:cNvSpPr>
      </xdr:nvSpPr>
      <xdr:spPr>
        <a:xfrm>
          <a:off x="133350" y="542925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0</xdr:col>
      <xdr:colOff>171450</xdr:colOff>
      <xdr:row>23</xdr:row>
      <xdr:rowOff>247650</xdr:rowOff>
    </xdr:from>
    <xdr:ext cx="1790700" cy="742950"/>
    <xdr:sp macro="" textlink="">
      <xdr:nvSpPr>
        <xdr:cNvPr id="13" name="BRAND|TRAINING SCENARIO&#10;R-001 remains simulated.&#10;Evidence pending validation.">
          <a:extLst>
            <a:ext uri="{FF2B5EF4-FFF2-40B4-BE49-F238E27FC236}">
              <a16:creationId xmlns:a16="http://schemas.microsoft.com/office/drawing/2014/main" id="{00000000-0008-0000-0000-00000D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endParaRPr lang="en-US" sz="1100" b="1">
            <a:solidFill>
              <a:srgbClr val="FFFFFF"/>
            </a:solidFill>
            <a:latin typeface="Arial"/>
          </a:endParaRPr>
        </a:p>
      </xdr:txBody>
    </xdr:sp>
    <xdr:clientData/>
  </xdr:oneCellAnchor>
  <xdr:oneCellAnchor>
    <xdr:from>
      <xdr:col>1</xdr:col>
      <xdr:colOff>142875</xdr:colOff>
      <xdr:row>0</xdr:row>
      <xdr:rowOff>95250</xdr:rowOff>
    </xdr:from>
    <xdr:ext cx="781050" cy="781050"/>
    <xdr:pic>
      <xdr:nvPicPr>
        <xdr:cNvPr id="14" name="bfa18cc7-891d-41d4-954e-f27aac79286d">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24</xdr:col>
      <xdr:colOff>586154</xdr:colOff>
      <xdr:row>1</xdr:row>
      <xdr:rowOff>309929</xdr:rowOff>
    </xdr:to>
    <xdr:sp macro="" textlink="">
      <xdr:nvSpPr>
        <xdr:cNvPr id="2" name="TITLE|RISK REGISTER">
          <a:extLst>
            <a:ext uri="{FF2B5EF4-FFF2-40B4-BE49-F238E27FC236}">
              <a16:creationId xmlns:a16="http://schemas.microsoft.com/office/drawing/2014/main" id="{00000000-0008-0000-0100-000002000000}"/>
            </a:ext>
          </a:extLst>
        </xdr:cNvPr>
        <xdr:cNvSpPr>
          <a:spLocks noGrp="1"/>
        </xdr:cNvSpPr>
      </xdr:nvSpPr>
      <xdr:spPr>
        <a:xfrm>
          <a:off x="2426677" y="66675"/>
          <a:ext cx="30825342"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RISK REGISTER</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1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371230</xdr:rowOff>
    </xdr:from>
    <xdr:to>
      <xdr:col>3</xdr:col>
      <xdr:colOff>355023</xdr:colOff>
      <xdr:row>6</xdr:row>
      <xdr:rowOff>251158</xdr:rowOff>
    </xdr:to>
    <xdr:sp macro="" textlink="">
      <xdr:nvSpPr>
        <xdr:cNvPr id="4" name="NAV|Dashboard|01  Dashboard" descr="Risk Register navigation: Dashboard">
          <a:hlinkClick xmlns:r="http://schemas.openxmlformats.org/officeDocument/2006/relationships" r:id="rId1" tooltip="Open Dashboard"/>
          <a:extLst>
            <a:ext uri="{FF2B5EF4-FFF2-40B4-BE49-F238E27FC236}">
              <a16:creationId xmlns:a16="http://schemas.microsoft.com/office/drawing/2014/main" id="{00000000-0008-0000-0100-000004000000}"/>
            </a:ext>
          </a:extLst>
        </xdr:cNvPr>
        <xdr:cNvSpPr>
          <a:spLocks noGrp="1"/>
        </xdr:cNvSpPr>
      </xdr:nvSpPr>
      <xdr:spPr>
        <a:xfrm>
          <a:off x="133350" y="1642341"/>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390300</xdr:rowOff>
    </xdr:from>
    <xdr:to>
      <xdr:col>3</xdr:col>
      <xdr:colOff>355023</xdr:colOff>
      <xdr:row>6</xdr:row>
      <xdr:rowOff>847500</xdr:rowOff>
    </xdr:to>
    <xdr:sp macro="" textlink="">
      <xdr:nvSpPr>
        <xdr:cNvPr id="5" name="NAV|Risk Register|02  Risk register" descr="Risk Register navigation: Risk Register (current page)">
          <a:hlinkClick xmlns:r="http://schemas.openxmlformats.org/officeDocument/2006/relationships" r:id="rId2" tooltip="Open Risk Register"/>
          <a:extLst>
            <a:ext uri="{FF2B5EF4-FFF2-40B4-BE49-F238E27FC236}">
              <a16:creationId xmlns:a16="http://schemas.microsoft.com/office/drawing/2014/main" id="{00000000-0008-0000-0100-000005000000}"/>
            </a:ext>
          </a:extLst>
        </xdr:cNvPr>
        <xdr:cNvSpPr>
          <a:spLocks noGrp="1"/>
        </xdr:cNvSpPr>
      </xdr:nvSpPr>
      <xdr:spPr>
        <a:xfrm>
          <a:off x="133350" y="2238683"/>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02  Risk register</a:t>
          </a:r>
        </a:p>
      </xdr:txBody>
    </xdr:sp>
    <xdr:clientData/>
  </xdr:twoCellAnchor>
  <xdr:twoCellAnchor editAs="absolute">
    <xdr:from>
      <xdr:col>0</xdr:col>
      <xdr:colOff>133350</xdr:colOff>
      <xdr:row>6</xdr:row>
      <xdr:rowOff>986642</xdr:rowOff>
    </xdr:from>
    <xdr:to>
      <xdr:col>3</xdr:col>
      <xdr:colOff>355023</xdr:colOff>
      <xdr:row>6</xdr:row>
      <xdr:rowOff>1443842</xdr:rowOff>
    </xdr:to>
    <xdr:sp macro="" textlink="">
      <xdr:nvSpPr>
        <xdr:cNvPr id="6" name="NAV|Control Assessment|03  Controls" descr="Risk Regist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100-000006000000}"/>
            </a:ext>
          </a:extLst>
        </xdr:cNvPr>
        <xdr:cNvSpPr>
          <a:spLocks noGrp="1"/>
        </xdr:cNvSpPr>
      </xdr:nvSpPr>
      <xdr:spPr>
        <a:xfrm>
          <a:off x="133350" y="283502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6</xdr:row>
      <xdr:rowOff>1582984</xdr:rowOff>
    </xdr:from>
    <xdr:to>
      <xdr:col>3</xdr:col>
      <xdr:colOff>355023</xdr:colOff>
      <xdr:row>6</xdr:row>
      <xdr:rowOff>2040184</xdr:rowOff>
    </xdr:to>
    <xdr:sp macro="" textlink="">
      <xdr:nvSpPr>
        <xdr:cNvPr id="7" name="NAV|Evidence Tracker|04  Evidence" descr="Risk Regist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100-000007000000}"/>
            </a:ext>
          </a:extLst>
        </xdr:cNvPr>
        <xdr:cNvSpPr>
          <a:spLocks noGrp="1"/>
        </xdr:cNvSpPr>
      </xdr:nvSpPr>
      <xdr:spPr>
        <a:xfrm>
          <a:off x="133350" y="3431367"/>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158750</xdr:colOff>
      <xdr:row>6</xdr:row>
      <xdr:rowOff>2179326</xdr:rowOff>
    </xdr:from>
    <xdr:to>
      <xdr:col>3</xdr:col>
      <xdr:colOff>380423</xdr:colOff>
      <xdr:row>6</xdr:row>
      <xdr:rowOff>2636526</xdr:rowOff>
    </xdr:to>
    <xdr:sp macro="" textlink="">
      <xdr:nvSpPr>
        <xdr:cNvPr id="8" name="NAV|Remediation Tracker|05  Remediation" descr="Risk Regist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100-000008000000}"/>
            </a:ext>
          </a:extLst>
        </xdr:cNvPr>
        <xdr:cNvSpPr>
          <a:spLocks noGrp="1"/>
        </xdr:cNvSpPr>
      </xdr:nvSpPr>
      <xdr:spPr>
        <a:xfrm>
          <a:off x="158750" y="402770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158750</xdr:colOff>
      <xdr:row>6</xdr:row>
      <xdr:rowOff>2775668</xdr:rowOff>
    </xdr:from>
    <xdr:to>
      <xdr:col>3</xdr:col>
      <xdr:colOff>380423</xdr:colOff>
      <xdr:row>7</xdr:row>
      <xdr:rowOff>337268</xdr:rowOff>
    </xdr:to>
    <xdr:sp macro="" textlink="">
      <xdr:nvSpPr>
        <xdr:cNvPr id="9" name="NAV|Scoring Methodology|06  Scoring" descr="Risk Regist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100-000009000000}"/>
            </a:ext>
          </a:extLst>
        </xdr:cNvPr>
        <xdr:cNvSpPr>
          <a:spLocks noGrp="1"/>
        </xdr:cNvSpPr>
      </xdr:nvSpPr>
      <xdr:spPr>
        <a:xfrm>
          <a:off x="158750" y="4624051"/>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128155</xdr:colOff>
      <xdr:row>7</xdr:row>
      <xdr:rowOff>472946</xdr:rowOff>
    </xdr:from>
    <xdr:to>
      <xdr:col>3</xdr:col>
      <xdr:colOff>349828</xdr:colOff>
      <xdr:row>7</xdr:row>
      <xdr:rowOff>930146</xdr:rowOff>
    </xdr:to>
    <xdr:sp macro="" textlink="">
      <xdr:nvSpPr>
        <xdr:cNvPr id="10" name="NAV|Instructions|07  Guide" descr="Risk Register navigation: Instructions">
          <a:hlinkClick xmlns:r="http://schemas.openxmlformats.org/officeDocument/2006/relationships" r:id="rId7" tooltip="Open Instructions"/>
          <a:extLst>
            <a:ext uri="{FF2B5EF4-FFF2-40B4-BE49-F238E27FC236}">
              <a16:creationId xmlns:a16="http://schemas.microsoft.com/office/drawing/2014/main" id="{00000000-0008-0000-0100-00000A000000}"/>
            </a:ext>
          </a:extLst>
        </xdr:cNvPr>
        <xdr:cNvSpPr>
          <a:spLocks noGrp="1"/>
        </xdr:cNvSpPr>
      </xdr:nvSpPr>
      <xdr:spPr>
        <a:xfrm>
          <a:off x="128155" y="5220392"/>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4314764c-c99c-4f3e-83f3-e3ec88542438">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4</xdr:col>
      <xdr:colOff>228601</xdr:colOff>
      <xdr:row>0</xdr:row>
      <xdr:rowOff>66675</xdr:rowOff>
    </xdr:from>
    <xdr:to>
      <xdr:col>15</xdr:col>
      <xdr:colOff>3462619</xdr:colOff>
      <xdr:row>1</xdr:row>
      <xdr:rowOff>317687</xdr:rowOff>
    </xdr:to>
    <xdr:sp macro="" textlink="">
      <xdr:nvSpPr>
        <xdr:cNvPr id="2" name="TITLE|CONTROL ASSESSMENT">
          <a:extLst>
            <a:ext uri="{FF2B5EF4-FFF2-40B4-BE49-F238E27FC236}">
              <a16:creationId xmlns:a16="http://schemas.microsoft.com/office/drawing/2014/main" id="{00000000-0008-0000-0200-000002000000}"/>
            </a:ext>
          </a:extLst>
        </xdr:cNvPr>
        <xdr:cNvSpPr>
          <a:spLocks noGrp="1"/>
        </xdr:cNvSpPr>
      </xdr:nvSpPr>
      <xdr:spPr>
        <a:xfrm>
          <a:off x="2424954" y="66675"/>
          <a:ext cx="22272812"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CONTROL ASSESSMENT</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2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6</xdr:row>
      <xdr:rowOff>158750</xdr:rowOff>
    </xdr:to>
    <xdr:sp macro="" textlink="">
      <xdr:nvSpPr>
        <xdr:cNvPr id="4" name="NAV|Dashboard|01  Dashboard" descr="Control Assessment navigation: Dashboard">
          <a:hlinkClick xmlns:r="http://schemas.openxmlformats.org/officeDocument/2006/relationships" r:id="rId1" tooltip="Open Dashboard"/>
          <a:extLst>
            <a:ext uri="{FF2B5EF4-FFF2-40B4-BE49-F238E27FC236}">
              <a16:creationId xmlns:a16="http://schemas.microsoft.com/office/drawing/2014/main" id="{00000000-0008-0000-02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265853</xdr:rowOff>
    </xdr:from>
    <xdr:to>
      <xdr:col>3</xdr:col>
      <xdr:colOff>323850</xdr:colOff>
      <xdr:row>6</xdr:row>
      <xdr:rowOff>723053</xdr:rowOff>
    </xdr:to>
    <xdr:sp macro="" textlink="">
      <xdr:nvSpPr>
        <xdr:cNvPr id="5" name="NAV|Risk Register|02  Risk register" descr="Control Assessment navigation: Risk Register">
          <a:hlinkClick xmlns:r="http://schemas.openxmlformats.org/officeDocument/2006/relationships" r:id="rId2" tooltip="Open Risk Register"/>
          <a:extLst>
            <a:ext uri="{FF2B5EF4-FFF2-40B4-BE49-F238E27FC236}">
              <a16:creationId xmlns:a16="http://schemas.microsoft.com/office/drawing/2014/main" id="{00000000-0008-0000-0200-000005000000}"/>
            </a:ext>
          </a:extLst>
        </xdr:cNvPr>
        <xdr:cNvSpPr>
          <a:spLocks noGrp="1"/>
        </xdr:cNvSpPr>
      </xdr:nvSpPr>
      <xdr:spPr>
        <a:xfrm>
          <a:off x="133350" y="2234353"/>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7</xdr:row>
      <xdr:rowOff>106256</xdr:rowOff>
    </xdr:from>
    <xdr:to>
      <xdr:col>3</xdr:col>
      <xdr:colOff>323850</xdr:colOff>
      <xdr:row>7</xdr:row>
      <xdr:rowOff>563456</xdr:rowOff>
    </xdr:to>
    <xdr:sp macro="" textlink="">
      <xdr:nvSpPr>
        <xdr:cNvPr id="6" name="NAV|Control Assessment|03  Controls" descr="Control Assessment navigation: Control Assessment (current page)">
          <a:hlinkClick xmlns:r="http://schemas.openxmlformats.org/officeDocument/2006/relationships" r:id="rId3" tooltip="Open Control Assessment"/>
          <a:extLst>
            <a:ext uri="{FF2B5EF4-FFF2-40B4-BE49-F238E27FC236}">
              <a16:creationId xmlns:a16="http://schemas.microsoft.com/office/drawing/2014/main" id="{00000000-0008-0000-0200-000006000000}"/>
            </a:ext>
          </a:extLst>
        </xdr:cNvPr>
        <xdr:cNvSpPr>
          <a:spLocks noGrp="1"/>
        </xdr:cNvSpPr>
      </xdr:nvSpPr>
      <xdr:spPr>
        <a:xfrm>
          <a:off x="133350" y="2798656"/>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03  Controls</a:t>
          </a:r>
        </a:p>
      </xdr:txBody>
    </xdr:sp>
    <xdr:clientData/>
  </xdr:twoCellAnchor>
  <xdr:twoCellAnchor editAs="absolute">
    <xdr:from>
      <xdr:col>0</xdr:col>
      <xdr:colOff>133350</xdr:colOff>
      <xdr:row>7</xdr:row>
      <xdr:rowOff>670559</xdr:rowOff>
    </xdr:from>
    <xdr:to>
      <xdr:col>3</xdr:col>
      <xdr:colOff>323850</xdr:colOff>
      <xdr:row>8</xdr:row>
      <xdr:rowOff>398630</xdr:rowOff>
    </xdr:to>
    <xdr:sp macro="" textlink="">
      <xdr:nvSpPr>
        <xdr:cNvPr id="7" name="NAV|Evidence Tracker|04  Evidence" descr="Control Assessment navigation: Evidence Tracker">
          <a:hlinkClick xmlns:r="http://schemas.openxmlformats.org/officeDocument/2006/relationships" r:id="rId4" tooltip="Open Evidence Tracker"/>
          <a:extLst>
            <a:ext uri="{FF2B5EF4-FFF2-40B4-BE49-F238E27FC236}">
              <a16:creationId xmlns:a16="http://schemas.microsoft.com/office/drawing/2014/main" id="{00000000-0008-0000-0200-000007000000}"/>
            </a:ext>
          </a:extLst>
        </xdr:cNvPr>
        <xdr:cNvSpPr>
          <a:spLocks noGrp="1"/>
        </xdr:cNvSpPr>
      </xdr:nvSpPr>
      <xdr:spPr>
        <a:xfrm>
          <a:off x="133350" y="336295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8</xdr:row>
      <xdr:rowOff>505733</xdr:rowOff>
    </xdr:from>
    <xdr:to>
      <xdr:col>3</xdr:col>
      <xdr:colOff>323850</xdr:colOff>
      <xdr:row>8</xdr:row>
      <xdr:rowOff>957703</xdr:rowOff>
    </xdr:to>
    <xdr:sp macro="" textlink="">
      <xdr:nvSpPr>
        <xdr:cNvPr id="8" name="NAV|Remediation Tracker|05  Remediation" descr="Control Assessment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200-000008000000}"/>
            </a:ext>
          </a:extLst>
        </xdr:cNvPr>
        <xdr:cNvSpPr>
          <a:spLocks noGrp="1"/>
        </xdr:cNvSpPr>
      </xdr:nvSpPr>
      <xdr:spPr>
        <a:xfrm>
          <a:off x="133350" y="3927262"/>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8</xdr:row>
      <xdr:rowOff>1059577</xdr:rowOff>
    </xdr:from>
    <xdr:to>
      <xdr:col>3</xdr:col>
      <xdr:colOff>323850</xdr:colOff>
      <xdr:row>8</xdr:row>
      <xdr:rowOff>1511548</xdr:rowOff>
    </xdr:to>
    <xdr:sp macro="" textlink="">
      <xdr:nvSpPr>
        <xdr:cNvPr id="9" name="NAV|Scoring Methodology|06  Scoring" descr="Control Assessment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200-000009000000}"/>
            </a:ext>
          </a:extLst>
        </xdr:cNvPr>
        <xdr:cNvSpPr>
          <a:spLocks noGrp="1"/>
        </xdr:cNvSpPr>
      </xdr:nvSpPr>
      <xdr:spPr>
        <a:xfrm>
          <a:off x="133350" y="449156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8</xdr:row>
      <xdr:rowOff>1618653</xdr:rowOff>
    </xdr:from>
    <xdr:to>
      <xdr:col>3</xdr:col>
      <xdr:colOff>323850</xdr:colOff>
      <xdr:row>10</xdr:row>
      <xdr:rowOff>115570</xdr:rowOff>
    </xdr:to>
    <xdr:sp macro="" textlink="">
      <xdr:nvSpPr>
        <xdr:cNvPr id="10" name="NAV|Instructions|07  Guide" descr="Control Assessment navigation: Instructions">
          <a:hlinkClick xmlns:r="http://schemas.openxmlformats.org/officeDocument/2006/relationships" r:id="rId7" tooltip="Open Instructions"/>
          <a:extLst>
            <a:ext uri="{FF2B5EF4-FFF2-40B4-BE49-F238E27FC236}">
              <a16:creationId xmlns:a16="http://schemas.microsoft.com/office/drawing/2014/main" id="{00000000-0008-0000-02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8a289db9-8feb-473b-96a0-67eff736751e">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17</xdr:col>
      <xdr:colOff>3597088</xdr:colOff>
      <xdr:row>1</xdr:row>
      <xdr:rowOff>317687</xdr:rowOff>
    </xdr:to>
    <xdr:sp macro="" textlink="">
      <xdr:nvSpPr>
        <xdr:cNvPr id="2" name="TITLE|EVIDENCE TRACKER">
          <a:extLst>
            <a:ext uri="{FF2B5EF4-FFF2-40B4-BE49-F238E27FC236}">
              <a16:creationId xmlns:a16="http://schemas.microsoft.com/office/drawing/2014/main" id="{00000000-0008-0000-0300-000002000000}"/>
            </a:ext>
          </a:extLst>
        </xdr:cNvPr>
        <xdr:cNvSpPr>
          <a:spLocks noGrp="1"/>
        </xdr:cNvSpPr>
      </xdr:nvSpPr>
      <xdr:spPr>
        <a:xfrm>
          <a:off x="2424953" y="66675"/>
          <a:ext cx="279654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EVIDENCE TRACKER</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3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6</xdr:row>
      <xdr:rowOff>158750</xdr:rowOff>
    </xdr:to>
    <xdr:sp macro="" textlink="">
      <xdr:nvSpPr>
        <xdr:cNvPr id="4" name="NAV|Dashboard|01  Dashboard" descr="Evidence Tracker navigation: Dashboard">
          <a:hlinkClick xmlns:r="http://schemas.openxmlformats.org/officeDocument/2006/relationships" r:id="rId1" tooltip="Open Dashboard"/>
          <a:extLst>
            <a:ext uri="{FF2B5EF4-FFF2-40B4-BE49-F238E27FC236}">
              <a16:creationId xmlns:a16="http://schemas.microsoft.com/office/drawing/2014/main" id="{00000000-0008-0000-03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236220</xdr:rowOff>
    </xdr:from>
    <xdr:to>
      <xdr:col>3</xdr:col>
      <xdr:colOff>323850</xdr:colOff>
      <xdr:row>6</xdr:row>
      <xdr:rowOff>693420</xdr:rowOff>
    </xdr:to>
    <xdr:sp macro="" textlink="">
      <xdr:nvSpPr>
        <xdr:cNvPr id="5" name="NAV|Risk Register|02  Risk register" descr="Evidence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300-000005000000}"/>
            </a:ext>
          </a:extLst>
        </xdr:cNvPr>
        <xdr:cNvSpPr>
          <a:spLocks noGrp="1"/>
        </xdr:cNvSpPr>
      </xdr:nvSpPr>
      <xdr:spPr>
        <a:xfrm>
          <a:off x="133350" y="2188845"/>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6</xdr:row>
      <xdr:rowOff>770890</xdr:rowOff>
    </xdr:from>
    <xdr:to>
      <xdr:col>3</xdr:col>
      <xdr:colOff>323850</xdr:colOff>
      <xdr:row>7</xdr:row>
      <xdr:rowOff>326390</xdr:rowOff>
    </xdr:to>
    <xdr:sp macro="" textlink="">
      <xdr:nvSpPr>
        <xdr:cNvPr id="6" name="NAV|Control Assessment|03  Controls" descr="Evidence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300-000006000000}"/>
            </a:ext>
          </a:extLst>
        </xdr:cNvPr>
        <xdr:cNvSpPr>
          <a:spLocks noGrp="1"/>
        </xdr:cNvSpPr>
      </xdr:nvSpPr>
      <xdr:spPr>
        <a:xfrm>
          <a:off x="133350" y="2723515"/>
          <a:ext cx="1847850" cy="460375"/>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7</xdr:row>
      <xdr:rowOff>403860</xdr:rowOff>
    </xdr:from>
    <xdr:to>
      <xdr:col>3</xdr:col>
      <xdr:colOff>323850</xdr:colOff>
      <xdr:row>8</xdr:row>
      <xdr:rowOff>137160</xdr:rowOff>
    </xdr:to>
    <xdr:sp macro="" textlink="">
      <xdr:nvSpPr>
        <xdr:cNvPr id="7" name="NAV|Evidence Tracker|04  Evidence" descr="Evidence Tracker navigation: Evidence Tracker (current page)">
          <a:hlinkClick xmlns:r="http://schemas.openxmlformats.org/officeDocument/2006/relationships" r:id="rId4" tooltip="Open Evidence Tracker"/>
          <a:extLst>
            <a:ext uri="{FF2B5EF4-FFF2-40B4-BE49-F238E27FC236}">
              <a16:creationId xmlns:a16="http://schemas.microsoft.com/office/drawing/2014/main" id="{00000000-0008-0000-0300-000007000000}"/>
            </a:ext>
          </a:extLst>
        </xdr:cNvPr>
        <xdr:cNvSpPr>
          <a:spLocks noGrp="1"/>
        </xdr:cNvSpPr>
      </xdr:nvSpPr>
      <xdr:spPr>
        <a:xfrm>
          <a:off x="133350" y="3261360"/>
          <a:ext cx="184785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04  Evidence</a:t>
          </a:r>
        </a:p>
      </xdr:txBody>
    </xdr:sp>
    <xdr:clientData/>
  </xdr:twoCellAnchor>
  <xdr:twoCellAnchor editAs="absolute">
    <xdr:from>
      <xdr:col>0</xdr:col>
      <xdr:colOff>133350</xdr:colOff>
      <xdr:row>8</xdr:row>
      <xdr:rowOff>214630</xdr:rowOff>
    </xdr:from>
    <xdr:to>
      <xdr:col>3</xdr:col>
      <xdr:colOff>323850</xdr:colOff>
      <xdr:row>8</xdr:row>
      <xdr:rowOff>661372</xdr:rowOff>
    </xdr:to>
    <xdr:sp macro="" textlink="">
      <xdr:nvSpPr>
        <xdr:cNvPr id="8" name="NAV|Remediation Tracker|05  Remediation" descr="Evidence Track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300-000008000000}"/>
            </a:ext>
          </a:extLst>
        </xdr:cNvPr>
        <xdr:cNvSpPr>
          <a:spLocks noGrp="1"/>
        </xdr:cNvSpPr>
      </xdr:nvSpPr>
      <xdr:spPr>
        <a:xfrm>
          <a:off x="133350" y="3796030"/>
          <a:ext cx="1847850" cy="4445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8</xdr:row>
      <xdr:rowOff>738842</xdr:rowOff>
    </xdr:from>
    <xdr:to>
      <xdr:col>3</xdr:col>
      <xdr:colOff>323850</xdr:colOff>
      <xdr:row>8</xdr:row>
      <xdr:rowOff>1190812</xdr:rowOff>
    </xdr:to>
    <xdr:sp macro="" textlink="">
      <xdr:nvSpPr>
        <xdr:cNvPr id="9" name="NAV|Scoring Methodology|06  Scoring" descr="Evidence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300-000009000000}"/>
            </a:ext>
          </a:extLst>
        </xdr:cNvPr>
        <xdr:cNvSpPr>
          <a:spLocks noGrp="1"/>
        </xdr:cNvSpPr>
      </xdr:nvSpPr>
      <xdr:spPr>
        <a:xfrm>
          <a:off x="133350" y="4318000"/>
          <a:ext cx="1847850" cy="45085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9</xdr:row>
      <xdr:rowOff>2017</xdr:rowOff>
    </xdr:from>
    <xdr:to>
      <xdr:col>3</xdr:col>
      <xdr:colOff>323850</xdr:colOff>
      <xdr:row>10</xdr:row>
      <xdr:rowOff>123787</xdr:rowOff>
    </xdr:to>
    <xdr:sp macro="" textlink="">
      <xdr:nvSpPr>
        <xdr:cNvPr id="10" name="NAV|Instructions|07  Guide" descr="Evidence Tracker navigation: Instructions">
          <a:hlinkClick xmlns:r="http://schemas.openxmlformats.org/officeDocument/2006/relationships" r:id="rId7" tooltip="Open Instructions"/>
          <a:extLst>
            <a:ext uri="{FF2B5EF4-FFF2-40B4-BE49-F238E27FC236}">
              <a16:creationId xmlns:a16="http://schemas.microsoft.com/office/drawing/2014/main" id="{00000000-0008-0000-0300-00000A000000}"/>
            </a:ext>
          </a:extLst>
        </xdr:cNvPr>
        <xdr:cNvSpPr>
          <a:spLocks noGrp="1"/>
        </xdr:cNvSpPr>
      </xdr:nvSpPr>
      <xdr:spPr>
        <a:xfrm>
          <a:off x="133350" y="583057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b25e4016-d6cc-4b62-bcef-15f7a5963b8f">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15</xdr:col>
      <xdr:colOff>3911600</xdr:colOff>
      <xdr:row>1</xdr:row>
      <xdr:rowOff>314325</xdr:rowOff>
    </xdr:to>
    <xdr:sp macro="" textlink="">
      <xdr:nvSpPr>
        <xdr:cNvPr id="2" name="TITLE|REMEDIATION TRACKER">
          <a:extLst>
            <a:ext uri="{FF2B5EF4-FFF2-40B4-BE49-F238E27FC236}">
              <a16:creationId xmlns:a16="http://schemas.microsoft.com/office/drawing/2014/main" id="{00000000-0008-0000-0400-000002000000}"/>
            </a:ext>
          </a:extLst>
        </xdr:cNvPr>
        <xdr:cNvSpPr>
          <a:spLocks noGrp="1"/>
        </xdr:cNvSpPr>
      </xdr:nvSpPr>
      <xdr:spPr>
        <a:xfrm>
          <a:off x="2463800" y="66675"/>
          <a:ext cx="234950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REMEDIATION TRACKER</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4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6</xdr:row>
      <xdr:rowOff>158750</xdr:rowOff>
    </xdr:to>
    <xdr:sp macro="" textlink="">
      <xdr:nvSpPr>
        <xdr:cNvPr id="4" name="NAV|Dashboard|01  Dashboard" descr="Remediation Tracker navigation: Dashboard">
          <a:hlinkClick xmlns:r="http://schemas.openxmlformats.org/officeDocument/2006/relationships" r:id="rId1" tooltip="Open Dashboard"/>
          <a:extLst>
            <a:ext uri="{FF2B5EF4-FFF2-40B4-BE49-F238E27FC236}">
              <a16:creationId xmlns:a16="http://schemas.microsoft.com/office/drawing/2014/main" id="{00000000-0008-0000-0400-000004000000}"/>
            </a:ext>
          </a:extLst>
        </xdr:cNvPr>
        <xdr:cNvSpPr>
          <a:spLocks noGrp="1"/>
        </xdr:cNvSpPr>
      </xdr:nvSpPr>
      <xdr:spPr>
        <a:xfrm>
          <a:off x="133350" y="16700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329353</xdr:rowOff>
    </xdr:from>
    <xdr:to>
      <xdr:col>3</xdr:col>
      <xdr:colOff>323850</xdr:colOff>
      <xdr:row>6</xdr:row>
      <xdr:rowOff>786553</xdr:rowOff>
    </xdr:to>
    <xdr:sp macro="" textlink="">
      <xdr:nvSpPr>
        <xdr:cNvPr id="5" name="NAV|Risk Register|02  Risk register" descr="Remediation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400-000005000000}"/>
            </a:ext>
          </a:extLst>
        </xdr:cNvPr>
        <xdr:cNvSpPr>
          <a:spLocks noGrp="1"/>
        </xdr:cNvSpPr>
      </xdr:nvSpPr>
      <xdr:spPr>
        <a:xfrm>
          <a:off x="133350" y="2297853"/>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146050</xdr:colOff>
      <xdr:row>7</xdr:row>
      <xdr:rowOff>55456</xdr:rowOff>
    </xdr:from>
    <xdr:to>
      <xdr:col>3</xdr:col>
      <xdr:colOff>336550</xdr:colOff>
      <xdr:row>7</xdr:row>
      <xdr:rowOff>512656</xdr:rowOff>
    </xdr:to>
    <xdr:sp macro="" textlink="">
      <xdr:nvSpPr>
        <xdr:cNvPr id="6" name="NAV|Control Assessment|03  Controls" descr="Remediation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400-000006000000}"/>
            </a:ext>
          </a:extLst>
        </xdr:cNvPr>
        <xdr:cNvSpPr>
          <a:spLocks noGrp="1"/>
        </xdr:cNvSpPr>
      </xdr:nvSpPr>
      <xdr:spPr>
        <a:xfrm>
          <a:off x="146050" y="2925656"/>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7</xdr:row>
      <xdr:rowOff>683259</xdr:rowOff>
    </xdr:from>
    <xdr:to>
      <xdr:col>3</xdr:col>
      <xdr:colOff>323850</xdr:colOff>
      <xdr:row>8</xdr:row>
      <xdr:rowOff>410209</xdr:rowOff>
    </xdr:to>
    <xdr:sp macro="" textlink="">
      <xdr:nvSpPr>
        <xdr:cNvPr id="7" name="NAV|Evidence Tracker|04  Evidence" descr="Remediation Track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400-000007000000}"/>
            </a:ext>
          </a:extLst>
        </xdr:cNvPr>
        <xdr:cNvSpPr>
          <a:spLocks noGrp="1"/>
        </xdr:cNvSpPr>
      </xdr:nvSpPr>
      <xdr:spPr>
        <a:xfrm>
          <a:off x="133350" y="355345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8</xdr:row>
      <xdr:rowOff>580812</xdr:rowOff>
    </xdr:from>
    <xdr:to>
      <xdr:col>3</xdr:col>
      <xdr:colOff>323850</xdr:colOff>
      <xdr:row>8</xdr:row>
      <xdr:rowOff>1025312</xdr:rowOff>
    </xdr:to>
    <xdr:sp macro="" textlink="">
      <xdr:nvSpPr>
        <xdr:cNvPr id="8" name="NAV|Remediation Tracker|05  Remediation" descr="Remediation Tracker navigation: Remediation Tracker (current page)">
          <a:hlinkClick xmlns:r="http://schemas.openxmlformats.org/officeDocument/2006/relationships" r:id="rId5" tooltip="Open Remediation Tracker"/>
          <a:extLst>
            <a:ext uri="{FF2B5EF4-FFF2-40B4-BE49-F238E27FC236}">
              <a16:creationId xmlns:a16="http://schemas.microsoft.com/office/drawing/2014/main" id="{00000000-0008-0000-0400-000008000000}"/>
            </a:ext>
          </a:extLst>
        </xdr:cNvPr>
        <xdr:cNvSpPr>
          <a:spLocks noGrp="1"/>
        </xdr:cNvSpPr>
      </xdr:nvSpPr>
      <xdr:spPr>
        <a:xfrm>
          <a:off x="133350" y="4181262"/>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05  Remediation</a:t>
          </a:r>
        </a:p>
      </xdr:txBody>
    </xdr:sp>
    <xdr:clientData/>
  </xdr:twoCellAnchor>
  <xdr:twoCellAnchor editAs="absolute">
    <xdr:from>
      <xdr:col>0</xdr:col>
      <xdr:colOff>133350</xdr:colOff>
      <xdr:row>8</xdr:row>
      <xdr:rowOff>1195915</xdr:rowOff>
    </xdr:from>
    <xdr:to>
      <xdr:col>3</xdr:col>
      <xdr:colOff>323850</xdr:colOff>
      <xdr:row>8</xdr:row>
      <xdr:rowOff>1640415</xdr:rowOff>
    </xdr:to>
    <xdr:sp macro="" textlink="">
      <xdr:nvSpPr>
        <xdr:cNvPr id="9" name="NAV|Scoring Methodology|06  Scoring" descr="Remediation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400-000009000000}"/>
            </a:ext>
          </a:extLst>
        </xdr:cNvPr>
        <xdr:cNvSpPr>
          <a:spLocks noGrp="1"/>
        </xdr:cNvSpPr>
      </xdr:nvSpPr>
      <xdr:spPr>
        <a:xfrm>
          <a:off x="133350" y="480906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8</xdr:row>
      <xdr:rowOff>1811020</xdr:rowOff>
    </xdr:from>
    <xdr:to>
      <xdr:col>3</xdr:col>
      <xdr:colOff>323850</xdr:colOff>
      <xdr:row>9</xdr:row>
      <xdr:rowOff>271145</xdr:rowOff>
    </xdr:to>
    <xdr:sp macro="" textlink="">
      <xdr:nvSpPr>
        <xdr:cNvPr id="10" name="NAV|Instructions|07  Guide" descr="Remediation Tracker navigation: Instructions">
          <a:hlinkClick xmlns:r="http://schemas.openxmlformats.org/officeDocument/2006/relationships" r:id="rId7" tooltip="Open Instructions"/>
          <a:extLst>
            <a:ext uri="{FF2B5EF4-FFF2-40B4-BE49-F238E27FC236}">
              <a16:creationId xmlns:a16="http://schemas.microsoft.com/office/drawing/2014/main" id="{00000000-0008-0000-0400-00000A000000}"/>
            </a:ext>
          </a:extLst>
        </xdr:cNvPr>
        <xdr:cNvSpPr>
          <a:spLocks noGrp="1"/>
        </xdr:cNvSpPr>
      </xdr:nvSpPr>
      <xdr:spPr>
        <a:xfrm>
          <a:off x="133350" y="448437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f369c947-e89b-4ef8-b07b-79ecef668c7f">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15</xdr:col>
      <xdr:colOff>965200</xdr:colOff>
      <xdr:row>1</xdr:row>
      <xdr:rowOff>314325</xdr:rowOff>
    </xdr:to>
    <xdr:sp macro="" textlink="">
      <xdr:nvSpPr>
        <xdr:cNvPr id="2" name="TITLE|SCORING METHODOLOGY">
          <a:extLst>
            <a:ext uri="{FF2B5EF4-FFF2-40B4-BE49-F238E27FC236}">
              <a16:creationId xmlns:a16="http://schemas.microsoft.com/office/drawing/2014/main" id="{00000000-0008-0000-0500-000002000000}"/>
            </a:ext>
          </a:extLst>
        </xdr:cNvPr>
        <xdr:cNvSpPr>
          <a:spLocks noGrp="1"/>
        </xdr:cNvSpPr>
      </xdr:nvSpPr>
      <xdr:spPr>
        <a:xfrm>
          <a:off x="2463800" y="66675"/>
          <a:ext cx="15290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SCORING METHODOLOGY</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5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7</xdr:row>
      <xdr:rowOff>82550</xdr:rowOff>
    </xdr:to>
    <xdr:sp macro="" textlink="">
      <xdr:nvSpPr>
        <xdr:cNvPr id="4" name="NAV|Dashboard|01  Dashboard" descr="Scoring Methodology navigation: Dashboard">
          <a:hlinkClick xmlns:r="http://schemas.openxmlformats.org/officeDocument/2006/relationships" r:id="rId1" tooltip="Open Dashboard"/>
          <a:extLst>
            <a:ext uri="{FF2B5EF4-FFF2-40B4-BE49-F238E27FC236}">
              <a16:creationId xmlns:a16="http://schemas.microsoft.com/office/drawing/2014/main" id="{00000000-0008-0000-05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7</xdr:row>
      <xdr:rowOff>251460</xdr:rowOff>
    </xdr:from>
    <xdr:to>
      <xdr:col>3</xdr:col>
      <xdr:colOff>323850</xdr:colOff>
      <xdr:row>8</xdr:row>
      <xdr:rowOff>378460</xdr:rowOff>
    </xdr:to>
    <xdr:sp macro="" textlink="">
      <xdr:nvSpPr>
        <xdr:cNvPr id="5" name="NAV|Risk Register|02  Risk register" descr="Scoring Methodology navigation: Risk Register">
          <a:hlinkClick xmlns:r="http://schemas.openxmlformats.org/officeDocument/2006/relationships" r:id="rId2" tooltip="Open Risk Register"/>
          <a:extLst>
            <a:ext uri="{FF2B5EF4-FFF2-40B4-BE49-F238E27FC236}">
              <a16:creationId xmlns:a16="http://schemas.microsoft.com/office/drawing/2014/main" id="{00000000-0008-0000-05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9</xdr:row>
      <xdr:rowOff>64770</xdr:rowOff>
    </xdr:from>
    <xdr:to>
      <xdr:col>3</xdr:col>
      <xdr:colOff>323850</xdr:colOff>
      <xdr:row>10</xdr:row>
      <xdr:rowOff>39370</xdr:rowOff>
    </xdr:to>
    <xdr:sp macro="" textlink="">
      <xdr:nvSpPr>
        <xdr:cNvPr id="6" name="NAV|Control Assessment|03  Controls" descr="Scoring Methodology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5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10</xdr:row>
      <xdr:rowOff>209550</xdr:rowOff>
    </xdr:from>
    <xdr:to>
      <xdr:col>3</xdr:col>
      <xdr:colOff>323850</xdr:colOff>
      <xdr:row>11</xdr:row>
      <xdr:rowOff>184150</xdr:rowOff>
    </xdr:to>
    <xdr:sp macro="" textlink="">
      <xdr:nvSpPr>
        <xdr:cNvPr id="7" name="NAV|Evidence Tracker|04  Evidence" descr="Scoring Methodology navigation: Evidence Tracker">
          <a:hlinkClick xmlns:r="http://schemas.openxmlformats.org/officeDocument/2006/relationships" r:id="rId4" tooltip="Open Evidence Tracker"/>
          <a:extLst>
            <a:ext uri="{FF2B5EF4-FFF2-40B4-BE49-F238E27FC236}">
              <a16:creationId xmlns:a16="http://schemas.microsoft.com/office/drawing/2014/main" id="{00000000-0008-0000-05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11</xdr:row>
      <xdr:rowOff>354330</xdr:rowOff>
    </xdr:from>
    <xdr:to>
      <xdr:col>3</xdr:col>
      <xdr:colOff>323850</xdr:colOff>
      <xdr:row>12</xdr:row>
      <xdr:rowOff>328930</xdr:rowOff>
    </xdr:to>
    <xdr:sp macro="" textlink="">
      <xdr:nvSpPr>
        <xdr:cNvPr id="8" name="NAV|Remediation Tracker|05  Remediation" descr="Scoring Methodology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5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13</xdr:row>
      <xdr:rowOff>15240</xdr:rowOff>
    </xdr:from>
    <xdr:to>
      <xdr:col>3</xdr:col>
      <xdr:colOff>323850</xdr:colOff>
      <xdr:row>14</xdr:row>
      <xdr:rowOff>142240</xdr:rowOff>
    </xdr:to>
    <xdr:sp macro="" textlink="">
      <xdr:nvSpPr>
        <xdr:cNvPr id="9" name="NAV|Scoring Methodology|06  Scoring" descr="Scoring Methodology navigation: Scoring Methodology (current page)">
          <a:hlinkClick xmlns:r="http://schemas.openxmlformats.org/officeDocument/2006/relationships" r:id="rId6" tooltip="Open Scoring Methodology"/>
          <a:extLst>
            <a:ext uri="{FF2B5EF4-FFF2-40B4-BE49-F238E27FC236}">
              <a16:creationId xmlns:a16="http://schemas.microsoft.com/office/drawing/2014/main" id="{00000000-0008-0000-0500-000009000000}"/>
            </a:ext>
          </a:extLst>
        </xdr:cNvPr>
        <xdr:cNvSpPr>
          <a:spLocks noGrp="1"/>
        </xdr:cNvSpPr>
      </xdr:nvSpPr>
      <xdr:spPr>
        <a:xfrm>
          <a:off x="133350" y="48006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06  Scoring</a:t>
          </a:r>
        </a:p>
      </xdr:txBody>
    </xdr:sp>
    <xdr:clientData/>
  </xdr:twoCellAnchor>
  <xdr:twoCellAnchor editAs="absolute">
    <xdr:from>
      <xdr:col>0</xdr:col>
      <xdr:colOff>133350</xdr:colOff>
      <xdr:row>14</xdr:row>
      <xdr:rowOff>312420</xdr:rowOff>
    </xdr:from>
    <xdr:to>
      <xdr:col>3</xdr:col>
      <xdr:colOff>323850</xdr:colOff>
      <xdr:row>16</xdr:row>
      <xdr:rowOff>109220</xdr:rowOff>
    </xdr:to>
    <xdr:sp macro="" textlink="">
      <xdr:nvSpPr>
        <xdr:cNvPr id="10" name="NAV|Instructions|07  Guide" descr="Scoring Methodology navigation: Instructions">
          <a:hlinkClick xmlns:r="http://schemas.openxmlformats.org/officeDocument/2006/relationships" r:id="rId7" tooltip="Open Instructions"/>
          <a:extLst>
            <a:ext uri="{FF2B5EF4-FFF2-40B4-BE49-F238E27FC236}">
              <a16:creationId xmlns:a16="http://schemas.microsoft.com/office/drawing/2014/main" id="{00000000-0008-0000-05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4ac9d1ed-0187-43fb-8917-ff5b43f93390">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15</xdr:col>
      <xdr:colOff>939800</xdr:colOff>
      <xdr:row>1</xdr:row>
      <xdr:rowOff>314325</xdr:rowOff>
    </xdr:to>
    <xdr:sp macro="" textlink="">
      <xdr:nvSpPr>
        <xdr:cNvPr id="2" name="TITLE|INSTRUCTIONS">
          <a:extLst>
            <a:ext uri="{FF2B5EF4-FFF2-40B4-BE49-F238E27FC236}">
              <a16:creationId xmlns:a16="http://schemas.microsoft.com/office/drawing/2014/main" id="{00000000-0008-0000-0600-000002000000}"/>
            </a:ext>
          </a:extLst>
        </xdr:cNvPr>
        <xdr:cNvSpPr>
          <a:spLocks noGrp="1"/>
        </xdr:cNvSpPr>
      </xdr:nvSpPr>
      <xdr:spPr>
        <a:xfrm>
          <a:off x="2463800" y="66675"/>
          <a:ext cx="11607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INSTRUCTIONS</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6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7</xdr:row>
      <xdr:rowOff>82550</xdr:rowOff>
    </xdr:to>
    <xdr:sp macro="" textlink="">
      <xdr:nvSpPr>
        <xdr:cNvPr id="4" name="NAV|Dashboard|01  Dashboard" descr="Instructions navigation: Dashboard">
          <a:hlinkClick xmlns:r="http://schemas.openxmlformats.org/officeDocument/2006/relationships" r:id="rId1" tooltip="Open Dashboard"/>
          <a:extLst>
            <a:ext uri="{FF2B5EF4-FFF2-40B4-BE49-F238E27FC236}">
              <a16:creationId xmlns:a16="http://schemas.microsoft.com/office/drawing/2014/main" id="{00000000-0008-0000-06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7</xdr:row>
      <xdr:rowOff>251460</xdr:rowOff>
    </xdr:from>
    <xdr:to>
      <xdr:col>3</xdr:col>
      <xdr:colOff>323850</xdr:colOff>
      <xdr:row>9</xdr:row>
      <xdr:rowOff>48260</xdr:rowOff>
    </xdr:to>
    <xdr:sp macro="" textlink="">
      <xdr:nvSpPr>
        <xdr:cNvPr id="5" name="NAV|Risk Register|02  Risk register" descr="Instructions navigation: Risk Register">
          <a:hlinkClick xmlns:r="http://schemas.openxmlformats.org/officeDocument/2006/relationships" r:id="rId2" tooltip="Open Risk Register"/>
          <a:extLst>
            <a:ext uri="{FF2B5EF4-FFF2-40B4-BE49-F238E27FC236}">
              <a16:creationId xmlns:a16="http://schemas.microsoft.com/office/drawing/2014/main" id="{00000000-0008-0000-06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9</xdr:row>
      <xdr:rowOff>217170</xdr:rowOff>
    </xdr:from>
    <xdr:to>
      <xdr:col>3</xdr:col>
      <xdr:colOff>323850</xdr:colOff>
      <xdr:row>11</xdr:row>
      <xdr:rowOff>13970</xdr:rowOff>
    </xdr:to>
    <xdr:sp macro="" textlink="">
      <xdr:nvSpPr>
        <xdr:cNvPr id="6" name="NAV|Control Assessment|03  Controls" descr="Instructions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6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11</xdr:row>
      <xdr:rowOff>182880</xdr:rowOff>
    </xdr:from>
    <xdr:to>
      <xdr:col>3</xdr:col>
      <xdr:colOff>323850</xdr:colOff>
      <xdr:row>12</xdr:row>
      <xdr:rowOff>309880</xdr:rowOff>
    </xdr:to>
    <xdr:sp macro="" textlink="">
      <xdr:nvSpPr>
        <xdr:cNvPr id="7" name="NAV|Evidence Tracker|04  Evidence" descr="Instructions navigation: Evidence Tracker">
          <a:hlinkClick xmlns:r="http://schemas.openxmlformats.org/officeDocument/2006/relationships" r:id="rId4" tooltip="Open Evidence Tracker"/>
          <a:extLst>
            <a:ext uri="{FF2B5EF4-FFF2-40B4-BE49-F238E27FC236}">
              <a16:creationId xmlns:a16="http://schemas.microsoft.com/office/drawing/2014/main" id="{00000000-0008-0000-06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13</xdr:row>
      <xdr:rowOff>148590</xdr:rowOff>
    </xdr:from>
    <xdr:to>
      <xdr:col>3</xdr:col>
      <xdr:colOff>323850</xdr:colOff>
      <xdr:row>14</xdr:row>
      <xdr:rowOff>275590</xdr:rowOff>
    </xdr:to>
    <xdr:sp macro="" textlink="">
      <xdr:nvSpPr>
        <xdr:cNvPr id="8" name="NAV|Remediation Tracker|05  Remediation" descr="Instructions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6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15</xdr:row>
      <xdr:rowOff>114300</xdr:rowOff>
    </xdr:from>
    <xdr:to>
      <xdr:col>3</xdr:col>
      <xdr:colOff>323850</xdr:colOff>
      <xdr:row>16</xdr:row>
      <xdr:rowOff>241300</xdr:rowOff>
    </xdr:to>
    <xdr:sp macro="" textlink="">
      <xdr:nvSpPr>
        <xdr:cNvPr id="9" name="NAV|Scoring Methodology|06  Scoring" descr="Instructions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6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17</xdr:row>
      <xdr:rowOff>80010</xdr:rowOff>
    </xdr:from>
    <xdr:to>
      <xdr:col>3</xdr:col>
      <xdr:colOff>323850</xdr:colOff>
      <xdr:row>18</xdr:row>
      <xdr:rowOff>207010</xdr:rowOff>
    </xdr:to>
    <xdr:sp macro="" textlink="">
      <xdr:nvSpPr>
        <xdr:cNvPr id="10" name="NAV|Instructions|07  Guide" descr="Instructions navigation: Instructions (current page)">
          <a:hlinkClick xmlns:r="http://schemas.openxmlformats.org/officeDocument/2006/relationships" r:id="rId7" tooltip="Open Instructions"/>
          <a:extLst>
            <a:ext uri="{FF2B5EF4-FFF2-40B4-BE49-F238E27FC236}">
              <a16:creationId xmlns:a16="http://schemas.microsoft.com/office/drawing/2014/main" id="{00000000-0008-0000-0600-00000A000000}"/>
            </a:ext>
          </a:extLst>
        </xdr:cNvPr>
        <xdr:cNvSpPr>
          <a:spLocks noGrp="1"/>
        </xdr:cNvSpPr>
      </xdr:nvSpPr>
      <xdr:spPr>
        <a:xfrm>
          <a:off x="133350" y="54292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07  Guide</a:t>
          </a:r>
        </a:p>
      </xdr:txBody>
    </xdr:sp>
    <xdr:clientData/>
  </xdr:twoCellAnchor>
  <xdr:oneCellAnchor>
    <xdr:from>
      <xdr:col>1</xdr:col>
      <xdr:colOff>142875</xdr:colOff>
      <xdr:row>0</xdr:row>
      <xdr:rowOff>95250</xdr:rowOff>
    </xdr:from>
    <xdr:ext cx="781050" cy="781050"/>
    <xdr:pic>
      <xdr:nvPicPr>
        <xdr:cNvPr id="12" name="4c2404c1-cb27-408f-841f-b09a9133ff6e">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iskRegisterTable" displayName="RiskRegisterTable" ref="E6:Y106" totalsRowShown="0">
  <tableColumns count="21">
    <tableColumn id="1" xr3:uid="{00000000-0010-0000-0000-000001000000}" name="Risk ID"/>
    <tableColumn id="2" xr3:uid="{00000000-0010-0000-0000-000002000000}" name="Risk title"/>
    <tableColumn id="3" xr3:uid="{00000000-0010-0000-0000-000003000000}" name="Scenario fact / source"/>
    <tableColumn id="4" xr3:uid="{00000000-0010-0000-0000-000004000000}" name="Unverified assumptions"/>
    <tableColumn id="5" xr3:uid="{00000000-0010-0000-0000-000005000000}" name="Scope / asset"/>
    <tableColumn id="6" xr3:uid="{00000000-0010-0000-0000-000006000000}" name="Category"/>
    <tableColumn id="7" xr3:uid="{00000000-0010-0000-0000-000007000000}" name="Likelihood"/>
    <tableColumn id="8" xr3:uid="{00000000-0010-0000-0000-000008000000}" name="Impact"/>
    <tableColumn id="9" xr3:uid="{00000000-0010-0000-0000-000009000000}" name="Inherent score"/>
    <tableColumn id="10" xr3:uid="{00000000-0010-0000-0000-00000A000000}" name="Inherent rating"/>
    <tableColumn id="11" xr3:uid="{00000000-0010-0000-0000-00000B000000}" name="Proposed owner"/>
    <tableColumn id="12" xr3:uid="{00000000-0010-0000-0000-00000C000000}" name="Treatment"/>
    <tableColumn id="13" xr3:uid="{00000000-0010-0000-0000-00000D000000}" name="Validation status"/>
    <tableColumn id="14" xr3:uid="{00000000-0010-0000-0000-00000E000000}" name="Workflow status"/>
    <tableColumn id="15" xr3:uid="{00000000-0010-0000-0000-00000F000000}" name="Evidence IDs"/>
    <tableColumn id="16" xr3:uid="{00000000-0010-0000-0000-000010000000}" name="Residual likelihood"/>
    <tableColumn id="17" xr3:uid="{00000000-0010-0000-0000-000011000000}" name="Residual impact"/>
    <tableColumn id="18" xr3:uid="{00000000-0010-0000-0000-000012000000}" name="Residual score"/>
    <tableColumn id="19" xr3:uid="{00000000-0010-0000-0000-000013000000}" name="Residual rating"/>
    <tableColumn id="20" xr3:uid="{00000000-0010-0000-0000-000014000000}" name="Assessment notes"/>
    <tableColumn id="21" xr3:uid="{00000000-0010-0000-0000-000015000000}" name="Dashboard includ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trolAssessmentTable" displayName="ControlAssessmentTable" ref="E6:P106" totalsRowShown="0">
  <tableColumns count="12">
    <tableColumn id="1" xr3:uid="{00000000-0010-0000-0100-000001000000}" name="Control ID"/>
    <tableColumn id="2" xr3:uid="{00000000-0010-0000-0100-000002000000}" name="Risk ID"/>
    <tableColumn id="3" xr3:uid="{00000000-0010-0000-0100-000003000000}" name="Proposed control objective"/>
    <tableColumn id="4" xr3:uid="{00000000-0010-0000-0100-000004000000}" name="Design test plan"/>
    <tableColumn id="5" xr3:uid="{00000000-0010-0000-0100-000005000000}" name="Operating test plan"/>
    <tableColumn id="6" xr3:uid="{00000000-0010-0000-0100-000006000000}" name="Design result"/>
    <tableColumn id="7" xr3:uid="{00000000-0010-0000-0100-000007000000}" name="Operating result"/>
    <tableColumn id="8" xr3:uid="{00000000-0010-0000-0100-000008000000}" name="Evidence IDs"/>
    <tableColumn id="9" xr3:uid="{00000000-0010-0000-0100-000009000000}" name="Assessor"/>
    <tableColumn id="10" xr3:uid="{00000000-0010-0000-0100-00000A000000}" name="Assessment date"/>
    <tableColumn id="11" xr3:uid="{00000000-0010-0000-0100-00000B000000}" name="Validation status"/>
    <tableColumn id="12" xr3:uid="{00000000-0010-0000-0100-00000C000000}" name="Facts / assumptions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eTrackerTable" displayName="EvidenceTrackerTable" ref="E6:R106" totalsRowShown="0">
  <tableColumns count="14">
    <tableColumn id="1" xr3:uid="{00000000-0010-0000-0200-000001000000}" name="Evidence ID"/>
    <tableColumn id="2" xr3:uid="{00000000-0010-0000-0200-000002000000}" name="Risk ID"/>
    <tableColumn id="3" xr3:uid="{00000000-0010-0000-0200-000003000000}" name="Control ID"/>
    <tableColumn id="4" xr3:uid="{00000000-0010-0000-0200-000004000000}" name="Requested evidence"/>
    <tableColumn id="5" xr3:uid="{00000000-0010-0000-0200-000005000000}" name="Purpose / proposed coverage"/>
    <tableColumn id="6" xr3:uid="{00000000-0010-0000-0200-000006000000}" name="Custodian"/>
    <tableColumn id="7" xr3:uid="{00000000-0010-0000-0200-000007000000}" name="Request date"/>
    <tableColumn id="8" xr3:uid="{00000000-0010-0000-0200-000008000000}" name="Due date"/>
    <tableColumn id="9" xr3:uid="{00000000-0010-0000-0200-000009000000}" name="Received date"/>
    <tableColumn id="10" xr3:uid="{00000000-0010-0000-0200-00000A000000}" name="Status"/>
    <tableColumn id="11" xr3:uid="{00000000-0010-0000-0200-00000B000000}" name="Evidence location"/>
    <tableColumn id="12" xr3:uid="{00000000-0010-0000-0200-00000C000000}" name="Reviewer"/>
    <tableColumn id="13" xr3:uid="{00000000-0010-0000-0200-00000D000000}" name="Validation status"/>
    <tableColumn id="14" xr3:uid="{00000000-0010-0000-0200-00000E000000}" name="Review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mediationTrackerTable" displayName="RemediationTrackerTable" ref="E6:P106" totalsRowShown="0">
  <tableColumns count="12">
    <tableColumn id="1" xr3:uid="{00000000-0010-0000-0300-000001000000}" name="Action ID"/>
    <tableColumn id="2" xr3:uid="{00000000-0010-0000-0300-000002000000}" name="Risk ID"/>
    <tableColumn id="3" xr3:uid="{00000000-0010-0000-0300-000003000000}" name="Proposed action"/>
    <tableColumn id="4" xr3:uid="{00000000-0010-0000-0300-000004000000}" name="Proposed owner"/>
    <tableColumn id="5" xr3:uid="{00000000-0010-0000-0300-000005000000}" name="Approval status"/>
    <tableColumn id="6" xr3:uid="{00000000-0010-0000-0300-000006000000}" name="Workflow status"/>
    <tableColumn id="7" xr3:uid="{00000000-0010-0000-0300-000007000000}" name="Target date"/>
    <tableColumn id="8" xr3:uid="{00000000-0010-0000-0300-000008000000}" name="Completed date"/>
    <tableColumn id="9" xr3:uid="{00000000-0010-0000-0300-000009000000}" name="Closure evidence IDs"/>
    <tableColumn id="10" xr3:uid="{00000000-0010-0000-0300-00000A000000}" name="Closure validation"/>
    <tableColumn id="11" xr3:uid="{00000000-0010-0000-0300-00000B000000}" name="Days overdue"/>
    <tableColumn id="12" xr3:uid="{00000000-0010-0000-0300-00000C000000}" name="Notes / dependenci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02F47"/>
  </sheetPr>
  <dimension ref="A1:AG129"/>
  <sheetViews>
    <sheetView showGridLines="0" showRowColHeaders="0" tabSelected="1" workbookViewId="0">
      <selection activeCell="X29" sqref="X29:AB29"/>
    </sheetView>
  </sheetViews>
  <sheetFormatPr defaultRowHeight="14.25"/>
  <cols>
    <col min="1" max="4" width="7.25" customWidth="1"/>
    <col min="5" max="28" width="7" customWidth="1"/>
    <col min="31" max="33" width="14" hidden="1" customWidth="1"/>
  </cols>
  <sheetData>
    <row r="1" spans="1:33" ht="28.5" customHeight="1">
      <c r="A1" s="29"/>
      <c r="B1" s="29"/>
      <c r="C1" s="29"/>
      <c r="D1" s="29"/>
      <c r="E1" s="12"/>
      <c r="F1" s="12"/>
      <c r="G1" s="12"/>
      <c r="H1" s="12"/>
      <c r="I1" s="12"/>
      <c r="J1" s="13"/>
      <c r="K1" s="13"/>
      <c r="L1" s="13"/>
      <c r="M1" s="13"/>
      <c r="N1" s="13"/>
      <c r="O1" s="13"/>
      <c r="P1" s="13"/>
      <c r="Q1" s="13"/>
      <c r="R1" s="13"/>
      <c r="S1" s="13"/>
      <c r="T1" s="13"/>
      <c r="U1" s="13"/>
      <c r="V1" s="13"/>
      <c r="W1" s="13"/>
      <c r="X1" s="13"/>
      <c r="Y1" s="13"/>
      <c r="Z1" s="13"/>
      <c r="AA1" s="13"/>
      <c r="AB1" s="13"/>
    </row>
    <row r="2" spans="1:33" ht="28.5" customHeight="1">
      <c r="A2" s="29"/>
      <c r="B2" s="29"/>
      <c r="C2" s="29"/>
      <c r="D2" s="29"/>
      <c r="E2" s="12"/>
      <c r="F2" s="12"/>
      <c r="G2" s="12"/>
      <c r="H2" s="12"/>
      <c r="I2" s="12"/>
      <c r="J2" s="13"/>
      <c r="K2" s="13"/>
      <c r="L2" s="13"/>
      <c r="M2" s="13"/>
      <c r="N2" s="13"/>
      <c r="O2" s="13"/>
      <c r="P2" s="13"/>
      <c r="Q2" s="13"/>
      <c r="R2" s="13"/>
      <c r="S2" s="13"/>
      <c r="T2" s="13"/>
      <c r="U2" s="13"/>
      <c r="V2" s="13"/>
      <c r="W2" s="13"/>
      <c r="X2" s="13"/>
      <c r="Y2" s="13"/>
      <c r="Z2" s="13"/>
      <c r="AA2" s="13"/>
      <c r="AB2" s="13"/>
      <c r="AE2" t="s">
        <v>0</v>
      </c>
      <c r="AF2" t="s">
        <v>1</v>
      </c>
    </row>
    <row r="3" spans="1:33" ht="15" customHeight="1">
      <c r="A3" s="29"/>
      <c r="B3" s="29"/>
      <c r="C3" s="29"/>
      <c r="D3" s="29"/>
      <c r="E3" s="12"/>
      <c r="F3" s="12"/>
      <c r="G3" s="12"/>
      <c r="H3" s="12"/>
      <c r="I3" s="12"/>
      <c r="J3" s="12"/>
      <c r="K3" s="12"/>
      <c r="L3" s="12"/>
      <c r="M3" s="12"/>
      <c r="N3" s="12"/>
      <c r="O3" s="12"/>
      <c r="P3" s="12"/>
      <c r="Q3" s="12"/>
      <c r="R3" s="12"/>
      <c r="S3" s="12"/>
      <c r="T3" s="12"/>
      <c r="U3" s="12"/>
      <c r="V3" s="12"/>
      <c r="W3" s="12"/>
      <c r="X3" s="12"/>
      <c r="Y3" s="12"/>
      <c r="Z3" s="12"/>
      <c r="AA3" s="12"/>
      <c r="AB3" s="12"/>
      <c r="AE3" t="s">
        <v>2</v>
      </c>
      <c r="AF3">
        <f>COUNTIFS('Risk Register'!$Y$7:$Y$106,1,'Risk Register'!$N$7:$N$106,AE3)</f>
        <v>0</v>
      </c>
    </row>
    <row r="4" spans="1:33" ht="15" customHeight="1">
      <c r="A4" s="29"/>
      <c r="B4" s="29"/>
      <c r="C4" s="29"/>
      <c r="D4" s="29"/>
      <c r="E4" s="12"/>
      <c r="F4" s="12"/>
      <c r="G4" s="12"/>
      <c r="H4" s="12"/>
      <c r="I4" s="12"/>
      <c r="J4" s="12"/>
      <c r="K4" s="12"/>
      <c r="L4" s="12"/>
      <c r="M4" s="12"/>
      <c r="N4" s="12"/>
      <c r="O4" s="12"/>
      <c r="P4" s="12"/>
      <c r="Q4" s="12"/>
      <c r="R4" s="12"/>
      <c r="S4" s="12"/>
      <c r="T4" s="12"/>
      <c r="U4" s="12"/>
      <c r="V4" s="12"/>
      <c r="W4" s="12"/>
      <c r="X4" s="12"/>
      <c r="Y4" s="12"/>
      <c r="Z4" s="12"/>
      <c r="AA4" s="12"/>
      <c r="AB4" s="12"/>
      <c r="AE4" t="s">
        <v>3</v>
      </c>
      <c r="AF4">
        <f>COUNTIFS('Risk Register'!$Y$7:$Y$106,1,'Risk Register'!$N$7:$N$106,AE4)</f>
        <v>0</v>
      </c>
    </row>
    <row r="5" spans="1:33" ht="21" customHeight="1">
      <c r="A5" s="29"/>
      <c r="B5" s="29"/>
      <c r="C5" s="29"/>
      <c r="D5" s="29"/>
      <c r="E5" s="9"/>
      <c r="F5" s="63" t="s">
        <v>4</v>
      </c>
      <c r="G5" s="63"/>
      <c r="H5" s="63"/>
      <c r="I5" s="63"/>
      <c r="J5" s="63"/>
      <c r="K5" s="63"/>
      <c r="L5" s="63"/>
      <c r="M5" s="63"/>
      <c r="N5" s="63"/>
      <c r="O5" s="63"/>
      <c r="P5" s="63"/>
      <c r="Q5" s="63"/>
      <c r="R5" s="63"/>
      <c r="S5" s="63"/>
      <c r="T5" s="63"/>
      <c r="U5" s="63"/>
      <c r="V5" s="63"/>
      <c r="W5" s="63"/>
      <c r="X5" s="63"/>
      <c r="Y5" s="63"/>
      <c r="Z5" s="63"/>
      <c r="AA5" s="63"/>
      <c r="AB5" s="63"/>
      <c r="AE5" t="s">
        <v>5</v>
      </c>
      <c r="AF5">
        <f>COUNTIFS('Risk Register'!$Y$7:$Y$106,1,'Risk Register'!$N$7:$N$106,AE5)</f>
        <v>3</v>
      </c>
    </row>
    <row r="6" spans="1:33" ht="21" customHeight="1">
      <c r="A6" s="29"/>
      <c r="B6" s="29"/>
      <c r="C6" s="29"/>
      <c r="D6" s="29"/>
      <c r="E6" s="9"/>
      <c r="F6" s="9"/>
      <c r="G6" s="9"/>
      <c r="H6" s="9"/>
      <c r="I6" s="9"/>
      <c r="J6" s="19"/>
      <c r="K6" s="19"/>
      <c r="L6" s="66" t="s">
        <v>6</v>
      </c>
      <c r="M6" s="66"/>
      <c r="N6" s="66"/>
      <c r="O6" s="66"/>
      <c r="P6" s="66"/>
      <c r="Q6" s="66"/>
      <c r="R6" s="9"/>
      <c r="S6" s="9"/>
      <c r="T6" s="42" t="s">
        <v>7</v>
      </c>
      <c r="U6" s="42"/>
      <c r="V6" s="42"/>
      <c r="W6" s="42"/>
      <c r="X6" s="42"/>
      <c r="Y6" s="42"/>
      <c r="Z6" s="42"/>
      <c r="AA6" s="42"/>
      <c r="AB6" s="42"/>
      <c r="AE6" t="s">
        <v>8</v>
      </c>
      <c r="AF6">
        <f>COUNTIFS('Risk Register'!$Y$7:$Y$106,1,'Risk Register'!$N$7:$N$106,AE6)</f>
        <v>0</v>
      </c>
    </row>
    <row r="7" spans="1:33" ht="21" customHeight="1">
      <c r="A7" s="29"/>
      <c r="B7" s="29"/>
      <c r="C7" s="29"/>
      <c r="D7" s="29"/>
      <c r="E7" s="9"/>
      <c r="F7" s="9"/>
      <c r="G7" s="9"/>
      <c r="H7" s="9"/>
      <c r="I7" s="9"/>
      <c r="J7" s="9"/>
      <c r="K7" s="9"/>
      <c r="L7" s="64" t="s">
        <v>9</v>
      </c>
      <c r="M7" s="64"/>
      <c r="N7" s="64"/>
      <c r="O7" s="64"/>
      <c r="P7" s="64"/>
      <c r="Q7" s="64"/>
      <c r="R7" s="9"/>
      <c r="S7" s="9"/>
      <c r="T7" s="65" t="s">
        <v>9</v>
      </c>
      <c r="U7" s="65"/>
      <c r="V7" s="65"/>
      <c r="W7" s="65"/>
      <c r="X7" s="65"/>
      <c r="Y7" s="65"/>
      <c r="Z7" s="9"/>
      <c r="AA7" s="9"/>
      <c r="AB7" s="9"/>
    </row>
    <row r="8" spans="1:33" ht="21" customHeight="1">
      <c r="A8" s="29"/>
      <c r="B8" s="29"/>
      <c r="C8" s="29"/>
      <c r="D8" s="29"/>
      <c r="E8" s="9"/>
      <c r="F8" s="44" t="s">
        <v>10</v>
      </c>
      <c r="G8" s="44"/>
      <c r="H8" s="44"/>
      <c r="I8" s="44"/>
      <c r="J8" s="44"/>
      <c r="K8" s="44"/>
      <c r="L8" s="44"/>
      <c r="M8" s="44"/>
      <c r="N8" s="44"/>
      <c r="O8" s="44"/>
      <c r="P8" s="44"/>
      <c r="Q8" s="44"/>
      <c r="R8" s="44"/>
      <c r="S8" s="44"/>
      <c r="T8" s="44"/>
      <c r="U8" s="44"/>
      <c r="V8" s="44"/>
      <c r="W8" s="44"/>
      <c r="X8" s="44"/>
      <c r="Y8" s="44"/>
      <c r="Z8" s="44"/>
      <c r="AA8" s="44"/>
      <c r="AB8" s="44"/>
    </row>
    <row r="9" spans="1:33" ht="21" customHeight="1">
      <c r="A9" s="29"/>
      <c r="B9" s="29"/>
      <c r="C9" s="29"/>
      <c r="D9" s="29"/>
      <c r="E9" s="9"/>
      <c r="F9" s="9"/>
      <c r="G9" s="9"/>
      <c r="H9" s="9"/>
      <c r="I9" s="9"/>
      <c r="J9" s="9"/>
      <c r="K9" s="9"/>
      <c r="L9" s="9"/>
      <c r="M9" s="9"/>
      <c r="N9" s="9"/>
      <c r="O9" s="9"/>
      <c r="P9" s="9"/>
      <c r="Q9" s="9"/>
      <c r="R9" s="9"/>
      <c r="S9" s="9"/>
      <c r="T9" s="9"/>
      <c r="U9" s="9"/>
      <c r="V9" s="9"/>
      <c r="W9" s="9"/>
      <c r="X9" s="9"/>
      <c r="Y9" s="9"/>
      <c r="Z9" s="9"/>
      <c r="AA9" s="9"/>
      <c r="AB9" s="9"/>
      <c r="AE9" t="s">
        <v>11</v>
      </c>
      <c r="AF9" t="s">
        <v>12</v>
      </c>
    </row>
    <row r="10" spans="1:33" ht="21" customHeight="1">
      <c r="A10" s="29"/>
      <c r="B10" s="29"/>
      <c r="C10" s="29"/>
      <c r="D10" s="29"/>
      <c r="E10" s="9"/>
      <c r="F10" s="45" t="s">
        <v>13</v>
      </c>
      <c r="G10" s="46"/>
      <c r="H10" s="46"/>
      <c r="I10" s="46"/>
      <c r="J10" s="47"/>
      <c r="K10" s="9"/>
      <c r="L10" s="45" t="s">
        <v>14</v>
      </c>
      <c r="M10" s="46"/>
      <c r="N10" s="46"/>
      <c r="O10" s="46"/>
      <c r="P10" s="47"/>
      <c r="Q10" s="9"/>
      <c r="R10" s="45" t="s">
        <v>15</v>
      </c>
      <c r="S10" s="46"/>
      <c r="T10" s="46"/>
      <c r="U10" s="46"/>
      <c r="V10" s="47"/>
      <c r="W10" s="9"/>
      <c r="X10" s="45" t="s">
        <v>16</v>
      </c>
      <c r="Y10" s="46"/>
      <c r="Z10" s="46"/>
      <c r="AA10" s="46"/>
      <c r="AB10" s="47"/>
      <c r="AE10" t="s">
        <v>17</v>
      </c>
      <c r="AF10">
        <f>COUNTIFS('Evidence Tracker'!$E$7:$E$106,"&lt;&gt;",'Evidence Tracker'!$N$7:$N$106,"Planned request")</f>
        <v>3</v>
      </c>
    </row>
    <row r="11" spans="1:33" ht="21" customHeight="1">
      <c r="A11" s="29"/>
      <c r="B11" s="29"/>
      <c r="C11" s="29"/>
      <c r="D11" s="29"/>
      <c r="E11" s="9"/>
      <c r="F11" s="48"/>
      <c r="G11" s="49"/>
      <c r="H11" s="49"/>
      <c r="I11" s="49"/>
      <c r="J11" s="50"/>
      <c r="K11" s="9"/>
      <c r="L11" s="48"/>
      <c r="M11" s="49"/>
      <c r="N11" s="49"/>
      <c r="O11" s="49"/>
      <c r="P11" s="50"/>
      <c r="Q11" s="9"/>
      <c r="R11" s="48"/>
      <c r="S11" s="49"/>
      <c r="T11" s="49"/>
      <c r="U11" s="49"/>
      <c r="V11" s="50"/>
      <c r="W11" s="9"/>
      <c r="X11" s="48"/>
      <c r="Y11" s="49"/>
      <c r="Z11" s="49"/>
      <c r="AA11" s="49"/>
      <c r="AB11" s="50"/>
      <c r="AE11" t="s">
        <v>18</v>
      </c>
      <c r="AF11">
        <f>COUNTIFS('Evidence Tracker'!$E$7:$E$106,"&lt;&gt;",'Evidence Tracker'!$N$7:$N$106,"Requested")</f>
        <v>0</v>
      </c>
    </row>
    <row r="12" spans="1:33" ht="21" customHeight="1">
      <c r="A12" s="29"/>
      <c r="B12" s="29"/>
      <c r="C12" s="29"/>
      <c r="D12" s="29"/>
      <c r="E12" s="9"/>
      <c r="F12" s="51">
        <f>SUM('Risk Register'!$Y$7:$Y$106)</f>
        <v>3</v>
      </c>
      <c r="G12" s="52"/>
      <c r="H12" s="52"/>
      <c r="I12" s="52"/>
      <c r="J12" s="53"/>
      <c r="K12" s="9"/>
      <c r="L12" s="57">
        <f>COUNTIFS('Risk Register'!$Y$7:$Y$106,1,'Risk Register'!$N$7:$N$106,"High")+COUNTIFS('Risk Register'!$Y$7:$Y$106,1,'Risk Register'!$N$7:$N$106,"Critical")</f>
        <v>3</v>
      </c>
      <c r="M12" s="58"/>
      <c r="N12" s="58"/>
      <c r="O12" s="58"/>
      <c r="P12" s="59"/>
      <c r="Q12" s="9"/>
      <c r="R12" s="51">
        <f>COUNTIFS('Risk Register'!$Y$7:$Y$106,1,'Risk Register'!$Q$7:$Q$106,"Validated")</f>
        <v>0</v>
      </c>
      <c r="S12" s="52"/>
      <c r="T12" s="52"/>
      <c r="U12" s="52"/>
      <c r="V12" s="53"/>
      <c r="W12" s="9"/>
      <c r="X12" s="51">
        <f>COUNTIFS('Risk Register'!$Y$7:$Y$106,1,'Risk Register'!$Q$7:$Q$106,"Pending validation")</f>
        <v>3</v>
      </c>
      <c r="Y12" s="52"/>
      <c r="Z12" s="52"/>
      <c r="AA12" s="52"/>
      <c r="AB12" s="53"/>
      <c r="AE12" t="s">
        <v>19</v>
      </c>
      <c r="AF12">
        <f>COUNTIFS('Evidence Tracker'!$E$7:$E$106,"&lt;&gt;",'Evidence Tracker'!$N$7:$N$106,"Received")</f>
        <v>0</v>
      </c>
    </row>
    <row r="13" spans="1:33" ht="21" customHeight="1">
      <c r="A13" s="29"/>
      <c r="B13" s="29"/>
      <c r="C13" s="29"/>
      <c r="D13" s="29"/>
      <c r="E13" s="9"/>
      <c r="F13" s="54"/>
      <c r="G13" s="55"/>
      <c r="H13" s="55"/>
      <c r="I13" s="55"/>
      <c r="J13" s="56"/>
      <c r="K13" s="9"/>
      <c r="L13" s="60"/>
      <c r="M13" s="61"/>
      <c r="N13" s="61"/>
      <c r="O13" s="61"/>
      <c r="P13" s="62"/>
      <c r="Q13" s="9"/>
      <c r="R13" s="54"/>
      <c r="S13" s="55"/>
      <c r="T13" s="55"/>
      <c r="U13" s="55"/>
      <c r="V13" s="56"/>
      <c r="W13" s="9"/>
      <c r="X13" s="54"/>
      <c r="Y13" s="55"/>
      <c r="Z13" s="55"/>
      <c r="AA13" s="55"/>
      <c r="AB13" s="56"/>
      <c r="AE13" t="s">
        <v>20</v>
      </c>
      <c r="AF13">
        <f>COUNTIFS('Evidence Tracker'!$E$7:$E$106,"&lt;&gt;",'Evidence Tracker'!$N$7:$N$106,"Under review")</f>
        <v>0</v>
      </c>
    </row>
    <row r="14" spans="1:33" ht="21" customHeight="1">
      <c r="A14" s="29"/>
      <c r="B14" s="29"/>
      <c r="C14" s="29"/>
      <c r="D14" s="29"/>
      <c r="E14" s="9"/>
      <c r="F14" s="9"/>
      <c r="G14" s="9"/>
      <c r="H14" s="9"/>
      <c r="I14" s="9"/>
      <c r="J14" s="9"/>
      <c r="K14" s="9"/>
      <c r="L14" s="9"/>
      <c r="M14" s="9"/>
      <c r="N14" s="9"/>
      <c r="O14" s="9"/>
      <c r="P14" s="9"/>
      <c r="Q14" s="9"/>
      <c r="R14" s="9"/>
      <c r="S14" s="9"/>
      <c r="T14" s="9"/>
      <c r="U14" s="9"/>
      <c r="V14" s="9"/>
      <c r="W14" s="9"/>
      <c r="X14" s="9"/>
      <c r="Y14" s="9"/>
      <c r="Z14" s="9"/>
      <c r="AA14" s="9"/>
      <c r="AB14" s="9"/>
      <c r="AE14" t="s">
        <v>21</v>
      </c>
      <c r="AF14">
        <f>COUNTIFS('Evidence Tracker'!$E$7:$E$106,"&lt;&gt;",'Evidence Tracker'!$N$7:$N$106,"Reviewed")</f>
        <v>0</v>
      </c>
    </row>
    <row r="15" spans="1:33" ht="21" customHeight="1">
      <c r="A15" s="29"/>
      <c r="B15" s="29"/>
      <c r="C15" s="29"/>
      <c r="D15" s="29"/>
      <c r="E15" s="9"/>
      <c r="F15" s="43" t="s">
        <v>22</v>
      </c>
      <c r="G15" s="43"/>
      <c r="H15" s="43"/>
      <c r="I15" s="43"/>
      <c r="J15" s="43"/>
      <c r="K15" s="43"/>
      <c r="L15" s="43"/>
      <c r="M15" s="43"/>
      <c r="N15" s="43"/>
      <c r="O15" s="43"/>
      <c r="P15" s="43"/>
      <c r="Q15" s="9"/>
      <c r="R15" s="43" t="s">
        <v>23</v>
      </c>
      <c r="S15" s="43"/>
      <c r="T15" s="43"/>
      <c r="U15" s="43"/>
      <c r="V15" s="43"/>
      <c r="W15" s="43"/>
      <c r="X15" s="43"/>
      <c r="Y15" s="43"/>
      <c r="Z15" s="43"/>
      <c r="AA15" s="43"/>
      <c r="AB15" s="43"/>
    </row>
    <row r="16" spans="1:33" ht="21" customHeight="1">
      <c r="A16" s="29"/>
      <c r="B16" s="29"/>
      <c r="C16" s="29"/>
      <c r="D16" s="29"/>
      <c r="E16" s="9"/>
      <c r="F16" s="9"/>
      <c r="G16" s="9"/>
      <c r="H16" s="9"/>
      <c r="I16" s="9"/>
      <c r="J16" s="9"/>
      <c r="K16" s="9"/>
      <c r="L16" s="9"/>
      <c r="M16" s="9"/>
      <c r="N16" s="9"/>
      <c r="O16" s="9"/>
      <c r="P16" s="9"/>
      <c r="Q16" s="9"/>
      <c r="R16" s="9"/>
      <c r="S16" s="9"/>
      <c r="T16" s="9"/>
      <c r="U16" s="9"/>
      <c r="V16" s="9"/>
      <c r="W16" s="9"/>
      <c r="X16" s="9"/>
      <c r="Y16" s="9"/>
      <c r="Z16" s="9"/>
      <c r="AA16" s="9"/>
      <c r="AB16" s="9"/>
      <c r="AE16">
        <f>'Scoring Methodology'!F16</f>
        <v>6</v>
      </c>
      <c r="AF16">
        <f>'Scoring Methodology'!F17</f>
        <v>12</v>
      </c>
      <c r="AG16">
        <f>'Scoring Methodology'!F18</f>
        <v>20</v>
      </c>
    </row>
    <row r="17" spans="1:31" ht="21" customHeight="1">
      <c r="A17" s="29"/>
      <c r="B17" s="29"/>
      <c r="C17" s="29"/>
      <c r="D17" s="29"/>
      <c r="E17" s="9"/>
      <c r="F17" s="9"/>
      <c r="G17" s="9"/>
      <c r="H17" s="9"/>
      <c r="I17" s="9"/>
      <c r="J17" s="9"/>
      <c r="K17" s="9"/>
      <c r="L17" s="9"/>
      <c r="M17" s="9"/>
      <c r="N17" s="9"/>
      <c r="O17" s="9"/>
      <c r="P17" s="9"/>
      <c r="Q17" s="9"/>
      <c r="R17" s="9"/>
      <c r="S17" s="9"/>
      <c r="T17" s="9"/>
      <c r="U17" s="10"/>
      <c r="V17" s="10">
        <v>1</v>
      </c>
      <c r="W17" s="10">
        <v>2</v>
      </c>
      <c r="X17" s="10">
        <v>3</v>
      </c>
      <c r="Y17" s="10">
        <v>4</v>
      </c>
      <c r="Z17" s="10">
        <v>5</v>
      </c>
      <c r="AA17" s="9"/>
      <c r="AB17" s="9"/>
      <c r="AE17" t="str">
        <f>IF($AE$20=0,"",INDEX('Risk Register'!$N$7:$N$106,$AE$20))</f>
        <v>High</v>
      </c>
    </row>
    <row r="18" spans="1:31" ht="21" customHeight="1">
      <c r="A18" s="29"/>
      <c r="B18" s="29"/>
      <c r="C18" s="29"/>
      <c r="D18" s="29"/>
      <c r="E18" s="9"/>
      <c r="F18" s="9"/>
      <c r="G18" s="9"/>
      <c r="H18" s="9"/>
      <c r="I18" s="9"/>
      <c r="J18" s="9"/>
      <c r="K18" s="9"/>
      <c r="L18" s="9"/>
      <c r="M18" s="9"/>
      <c r="N18" s="9"/>
      <c r="O18" s="9"/>
      <c r="P18" s="9"/>
      <c r="Q18" s="9"/>
      <c r="R18" s="9"/>
      <c r="S18" s="9"/>
      <c r="T18" s="9"/>
      <c r="U18" s="10">
        <v>5</v>
      </c>
      <c r="V18" s="11">
        <f>COUNTIFS('Risk Register'!$Y$7:$Y$106,1,'Risk Register'!$K$7:$K$106,$U18,'Risk Register'!$L$7:$L$106,V$17)</f>
        <v>0</v>
      </c>
      <c r="W18" s="11">
        <f>COUNTIFS('Risk Register'!$Y$7:$Y$106,1,'Risk Register'!$K$7:$K$106,$U18,'Risk Register'!$L$7:$L$106,W$17)</f>
        <v>0</v>
      </c>
      <c r="X18" s="11">
        <f>COUNTIFS('Risk Register'!$Y$7:$Y$106,1,'Risk Register'!$K$7:$K$106,$U18,'Risk Register'!$L$7:$L$106,X$17)</f>
        <v>0</v>
      </c>
      <c r="Y18" s="11">
        <f>COUNTIFS('Risk Register'!$Y$7:$Y$106,1,'Risk Register'!$K$7:$K$106,$U18,'Risk Register'!$L$7:$L$106,Y$17)</f>
        <v>0</v>
      </c>
      <c r="Z18" s="11">
        <f>COUNTIFS('Risk Register'!$Y$7:$Y$106,1,'Risk Register'!$K$7:$K$106,$U18,'Risk Register'!$L$7:$L$106,Z$17)</f>
        <v>0</v>
      </c>
      <c r="AA18" s="9"/>
      <c r="AB18" s="9"/>
    </row>
    <row r="19" spans="1:31" ht="21" customHeight="1">
      <c r="A19" s="29"/>
      <c r="B19" s="29"/>
      <c r="C19" s="29"/>
      <c r="D19" s="29"/>
      <c r="E19" s="9"/>
      <c r="F19" s="9"/>
      <c r="G19" s="9"/>
      <c r="H19" s="9"/>
      <c r="I19" s="9"/>
      <c r="J19" s="9"/>
      <c r="K19" s="9"/>
      <c r="L19" s="9"/>
      <c r="M19" s="9"/>
      <c r="N19" s="9"/>
      <c r="O19" s="9"/>
      <c r="P19" s="9"/>
      <c r="Q19" s="9"/>
      <c r="R19" s="9"/>
      <c r="S19" s="9"/>
      <c r="T19" s="9"/>
      <c r="U19" s="10">
        <v>4</v>
      </c>
      <c r="V19" s="11">
        <f>COUNTIFS('Risk Register'!$Y$7:$Y$106,1,'Risk Register'!$K$7:$K$106,$U19,'Risk Register'!$L$7:$L$106,V$17)</f>
        <v>0</v>
      </c>
      <c r="W19" s="11">
        <f>COUNTIFS('Risk Register'!$Y$7:$Y$106,1,'Risk Register'!$K$7:$K$106,$U19,'Risk Register'!$L$7:$L$106,W$17)</f>
        <v>0</v>
      </c>
      <c r="X19" s="11">
        <f>COUNTIFS('Risk Register'!$Y$7:$Y$106,1,'Risk Register'!$K$7:$K$106,$U19,'Risk Register'!$L$7:$L$106,X$17)</f>
        <v>0</v>
      </c>
      <c r="Y19" s="11">
        <f>COUNTIFS('Risk Register'!$Y$7:$Y$106,1,'Risk Register'!$K$7:$K$106,$U19,'Risk Register'!$L$7:$L$106,Y$17)</f>
        <v>0</v>
      </c>
      <c r="Z19" s="11">
        <f>COUNTIFS('Risk Register'!$Y$7:$Y$106,1,'Risk Register'!$K$7:$K$106,$U19,'Risk Register'!$L$7:$L$106,Z$17)</f>
        <v>0</v>
      </c>
      <c r="AA19" s="9"/>
      <c r="AB19" s="9"/>
    </row>
    <row r="20" spans="1:31" ht="21" customHeight="1">
      <c r="A20" s="29"/>
      <c r="B20" s="29"/>
      <c r="C20" s="29"/>
      <c r="D20" s="29"/>
      <c r="E20" s="9"/>
      <c r="F20" s="9"/>
      <c r="G20" s="9"/>
      <c r="H20" s="9"/>
      <c r="I20" s="9"/>
      <c r="J20" s="9"/>
      <c r="K20" s="9"/>
      <c r="L20" s="9"/>
      <c r="M20" s="9"/>
      <c r="N20" s="9"/>
      <c r="O20" s="9"/>
      <c r="P20" s="9"/>
      <c r="Q20" s="9"/>
      <c r="R20" s="9"/>
      <c r="S20" s="9"/>
      <c r="T20" s="9"/>
      <c r="U20" s="10">
        <v>3</v>
      </c>
      <c r="V20" s="11">
        <f>COUNTIFS('Risk Register'!$Y$7:$Y$106,1,'Risk Register'!$K$7:$K$106,$U20,'Risk Register'!$L$7:$L$106,V$17)</f>
        <v>0</v>
      </c>
      <c r="W20" s="11">
        <f>COUNTIFS('Risk Register'!$Y$7:$Y$106,1,'Risk Register'!$K$7:$K$106,$U20,'Risk Register'!$L$7:$L$106,W$17)</f>
        <v>0</v>
      </c>
      <c r="X20" s="11">
        <f>COUNTIFS('Risk Register'!$Y$7:$Y$106,1,'Risk Register'!$K$7:$K$106,$U20,'Risk Register'!$L$7:$L$106,X$17)</f>
        <v>0</v>
      </c>
      <c r="Y20" s="11">
        <f>COUNTIFS('Risk Register'!$Y$7:$Y$106,1,'Risk Register'!$K$7:$K$106,$U20,'Risk Register'!$L$7:$L$106,Y$17)</f>
        <v>3</v>
      </c>
      <c r="Z20" s="11">
        <f>COUNTIFS('Risk Register'!$Y$7:$Y$106,1,'Risk Register'!$K$7:$K$106,$U20,'Risk Register'!$L$7:$L$106,Z$17)</f>
        <v>0</v>
      </c>
      <c r="AA20" s="9"/>
      <c r="AB20" s="9"/>
      <c r="AE20">
        <f>IFERROR(MATCH(X29,'Risk Register'!$F$7:$F$106,0),0)</f>
        <v>1</v>
      </c>
    </row>
    <row r="21" spans="1:31" ht="21" customHeight="1">
      <c r="A21" s="29"/>
      <c r="B21" s="29"/>
      <c r="C21" s="29"/>
      <c r="D21" s="29"/>
      <c r="E21" s="9"/>
      <c r="F21" s="9"/>
      <c r="G21" s="9"/>
      <c r="H21" s="9"/>
      <c r="I21" s="9"/>
      <c r="J21" s="9"/>
      <c r="K21" s="9"/>
      <c r="L21" s="9"/>
      <c r="M21" s="9"/>
      <c r="N21" s="9"/>
      <c r="O21" s="9"/>
      <c r="P21" s="9"/>
      <c r="Q21" s="9"/>
      <c r="R21" s="9"/>
      <c r="S21" s="9"/>
      <c r="T21" s="9"/>
      <c r="U21" s="10">
        <v>2</v>
      </c>
      <c r="V21" s="11">
        <f>COUNTIFS('Risk Register'!$Y$7:$Y$106,1,'Risk Register'!$K$7:$K$106,$U21,'Risk Register'!$L$7:$L$106,V$17)</f>
        <v>0</v>
      </c>
      <c r="W21" s="11">
        <f>COUNTIFS('Risk Register'!$Y$7:$Y$106,1,'Risk Register'!$K$7:$K$106,$U21,'Risk Register'!$L$7:$L$106,W$17)</f>
        <v>0</v>
      </c>
      <c r="X21" s="11">
        <f>COUNTIFS('Risk Register'!$Y$7:$Y$106,1,'Risk Register'!$K$7:$K$106,$U21,'Risk Register'!$L$7:$L$106,X$17)</f>
        <v>0</v>
      </c>
      <c r="Y21" s="11">
        <f>COUNTIFS('Risk Register'!$Y$7:$Y$106,1,'Risk Register'!$K$7:$K$106,$U21,'Risk Register'!$L$7:$L$106,Y$17)</f>
        <v>0</v>
      </c>
      <c r="Z21" s="11">
        <f>COUNTIFS('Risk Register'!$Y$7:$Y$106,1,'Risk Register'!$K$7:$K$106,$U21,'Risk Register'!$L$7:$L$106,Z$17)</f>
        <v>0</v>
      </c>
      <c r="AA21" s="9"/>
      <c r="AB21" s="9"/>
    </row>
    <row r="22" spans="1:31" ht="21" customHeight="1">
      <c r="A22" s="29"/>
      <c r="B22" s="29"/>
      <c r="C22" s="29"/>
      <c r="D22" s="29"/>
      <c r="E22" s="9"/>
      <c r="F22" s="9"/>
      <c r="G22" s="9"/>
      <c r="H22" s="9"/>
      <c r="I22" s="9"/>
      <c r="J22" s="9"/>
      <c r="K22" s="9"/>
      <c r="L22" s="9"/>
      <c r="M22" s="9"/>
      <c r="N22" s="9"/>
      <c r="O22" s="9"/>
      <c r="P22" s="9"/>
      <c r="Q22" s="9"/>
      <c r="R22" s="9"/>
      <c r="S22" s="9"/>
      <c r="T22" s="9"/>
      <c r="U22" s="10">
        <v>1</v>
      </c>
      <c r="V22" s="11">
        <f>COUNTIFS('Risk Register'!$Y$7:$Y$106,1,'Risk Register'!$K$7:$K$106,$U22,'Risk Register'!$L$7:$L$106,V$17)</f>
        <v>0</v>
      </c>
      <c r="W22" s="11">
        <f>COUNTIFS('Risk Register'!$Y$7:$Y$106,1,'Risk Register'!$K$7:$K$106,$U22,'Risk Register'!$L$7:$L$106,W$17)</f>
        <v>0</v>
      </c>
      <c r="X22" s="11">
        <f>COUNTIFS('Risk Register'!$Y$7:$Y$106,1,'Risk Register'!$K$7:$K$106,$U22,'Risk Register'!$L$7:$L$106,X$17)</f>
        <v>0</v>
      </c>
      <c r="Y22" s="11">
        <f>COUNTIFS('Risk Register'!$Y$7:$Y$106,1,'Risk Register'!$K$7:$K$106,$U22,'Risk Register'!$L$7:$L$106,Y$17)</f>
        <v>0</v>
      </c>
      <c r="Z22" s="11">
        <f>COUNTIFS('Risk Register'!$Y$7:$Y$106,1,'Risk Register'!$K$7:$K$106,$U22,'Risk Register'!$L$7:$L$106,Z$17)</f>
        <v>0</v>
      </c>
      <c r="AA22" s="9"/>
      <c r="AB22" s="9"/>
    </row>
    <row r="23" spans="1:31" ht="21" customHeight="1">
      <c r="A23" s="29"/>
      <c r="B23" s="29"/>
      <c r="C23" s="29"/>
      <c r="D23" s="29"/>
      <c r="E23" s="9"/>
      <c r="F23" s="9"/>
      <c r="G23" s="9"/>
      <c r="H23" s="9"/>
      <c r="I23" s="9"/>
      <c r="J23" s="9"/>
      <c r="K23" s="9"/>
      <c r="L23" s="9"/>
      <c r="M23" s="9"/>
      <c r="N23" s="9"/>
      <c r="O23" s="9"/>
      <c r="P23" s="9"/>
      <c r="Q23" s="9"/>
      <c r="R23" s="9"/>
      <c r="S23" s="9"/>
      <c r="T23" s="9"/>
      <c r="U23" s="9"/>
      <c r="V23" s="9"/>
      <c r="W23" s="9"/>
      <c r="X23" s="9"/>
      <c r="Y23" s="9"/>
      <c r="Z23" s="9"/>
      <c r="AA23" s="9"/>
      <c r="AB23" s="9"/>
    </row>
    <row r="24" spans="1:31" ht="21" customHeight="1">
      <c r="A24" s="29"/>
      <c r="B24" s="29"/>
      <c r="C24" s="29"/>
      <c r="D24" s="29"/>
      <c r="E24" s="9"/>
      <c r="F24" s="9"/>
      <c r="G24" s="9"/>
      <c r="H24" s="9"/>
      <c r="I24" s="9"/>
      <c r="J24" s="9"/>
      <c r="K24" s="9"/>
      <c r="L24" s="9"/>
      <c r="M24" s="9"/>
      <c r="N24" s="9"/>
      <c r="O24" s="9"/>
      <c r="P24" s="9"/>
      <c r="Q24" s="9"/>
      <c r="R24" s="44" t="s">
        <v>24</v>
      </c>
      <c r="S24" s="44"/>
      <c r="T24" s="44"/>
      <c r="U24" s="44"/>
      <c r="V24" s="44"/>
      <c r="W24" s="44"/>
      <c r="X24" s="44"/>
      <c r="Y24" s="44"/>
      <c r="Z24" s="44"/>
      <c r="AA24" s="44"/>
      <c r="AB24" s="44"/>
    </row>
    <row r="25" spans="1:31" ht="21" customHeight="1">
      <c r="A25" s="29"/>
      <c r="B25" s="29"/>
      <c r="C25" s="29"/>
      <c r="D25" s="29"/>
      <c r="E25" s="9"/>
      <c r="F25" s="9"/>
      <c r="G25" s="9"/>
      <c r="H25" s="9"/>
      <c r="I25" s="9"/>
      <c r="J25" s="9"/>
      <c r="K25" s="9"/>
      <c r="L25" s="9"/>
      <c r="M25" s="9"/>
      <c r="N25" s="9"/>
      <c r="O25" s="9"/>
      <c r="P25" s="9"/>
      <c r="Q25" s="9"/>
      <c r="R25" s="44"/>
      <c r="S25" s="44"/>
      <c r="T25" s="44"/>
      <c r="U25" s="44"/>
      <c r="V25" s="44"/>
      <c r="W25" s="44"/>
      <c r="X25" s="44"/>
      <c r="Y25" s="44"/>
      <c r="Z25" s="44"/>
      <c r="AA25" s="44"/>
      <c r="AB25" s="44"/>
    </row>
    <row r="26" spans="1:31" ht="21" customHeight="1">
      <c r="A26" s="29"/>
      <c r="B26" s="29"/>
      <c r="C26" s="29"/>
      <c r="D26" s="29"/>
      <c r="E26" s="9"/>
      <c r="F26" s="9"/>
      <c r="G26" s="9"/>
      <c r="H26" s="9"/>
      <c r="I26" s="9"/>
      <c r="J26" s="9"/>
      <c r="K26" s="9"/>
      <c r="L26" s="9"/>
      <c r="M26" s="9"/>
      <c r="N26" s="9"/>
      <c r="O26" s="9"/>
      <c r="P26" s="9"/>
      <c r="Q26" s="9"/>
      <c r="R26" s="9"/>
      <c r="S26" s="9"/>
      <c r="T26" s="9"/>
      <c r="U26" s="9"/>
      <c r="V26" s="9"/>
      <c r="W26" s="9"/>
      <c r="X26" s="9"/>
      <c r="Y26" s="9"/>
      <c r="Z26" s="9"/>
      <c r="AA26" s="9"/>
      <c r="AB26" s="9"/>
    </row>
    <row r="27" spans="1:31" ht="21" customHeight="1">
      <c r="A27" s="29"/>
      <c r="B27" s="29"/>
      <c r="C27" s="29"/>
      <c r="D27" s="29"/>
      <c r="E27" s="9"/>
      <c r="F27" s="9"/>
      <c r="G27" s="9"/>
      <c r="H27" s="9"/>
      <c r="I27" s="9"/>
      <c r="J27" s="9"/>
      <c r="K27" s="9"/>
      <c r="L27" s="9"/>
      <c r="M27" s="9"/>
      <c r="N27" s="9"/>
      <c r="O27" s="9"/>
      <c r="P27" s="9"/>
      <c r="Q27" s="9"/>
      <c r="R27" s="9"/>
      <c r="S27" s="9"/>
      <c r="T27" s="9"/>
      <c r="U27" s="9"/>
      <c r="V27" s="9"/>
      <c r="W27" s="9"/>
      <c r="X27" s="9"/>
      <c r="Y27" s="9"/>
      <c r="Z27" s="9"/>
      <c r="AA27" s="9"/>
      <c r="AB27" s="9"/>
    </row>
    <row r="28" spans="1:31" ht="21" customHeight="1">
      <c r="A28" s="29"/>
      <c r="B28" s="29"/>
      <c r="C28" s="29"/>
      <c r="D28" s="29"/>
      <c r="E28" s="9"/>
      <c r="F28" s="44" t="str">
        <f>IF(F12=0,"No risks match these filters.","Risk distribution total: "&amp;SUM(AF3:AF6)&amp;" / "&amp;F12&amp;" risks in view")</f>
        <v>Risk distribution total: 3 / 3 risks in view</v>
      </c>
      <c r="G28" s="44"/>
      <c r="H28" s="44"/>
      <c r="I28" s="44"/>
      <c r="J28" s="44"/>
      <c r="K28" s="44"/>
      <c r="L28" s="44"/>
      <c r="M28" s="44"/>
      <c r="N28" s="44"/>
      <c r="O28" s="44"/>
      <c r="P28" s="44"/>
      <c r="Q28" s="9"/>
      <c r="R28" s="9"/>
      <c r="S28" s="9"/>
      <c r="T28" s="9"/>
      <c r="U28" s="9"/>
      <c r="V28" s="9"/>
      <c r="W28" s="9"/>
      <c r="X28" s="9"/>
      <c r="Y28" s="9"/>
      <c r="Z28" s="9"/>
      <c r="AA28" s="9"/>
      <c r="AB28" s="9"/>
    </row>
    <row r="29" spans="1:31" ht="21" customHeight="1">
      <c r="A29" s="29"/>
      <c r="B29" s="29"/>
      <c r="C29" s="29"/>
      <c r="D29" s="29"/>
      <c r="E29" s="9"/>
      <c r="F29" s="9"/>
      <c r="G29" s="9"/>
      <c r="H29" s="9"/>
      <c r="I29" s="9"/>
      <c r="J29" s="9"/>
      <c r="K29" s="9"/>
      <c r="L29" s="9"/>
      <c r="M29" s="9"/>
      <c r="N29" s="9"/>
      <c r="O29" s="9"/>
      <c r="P29" s="9"/>
      <c r="Q29" s="9"/>
      <c r="R29" s="37" t="s">
        <v>170</v>
      </c>
      <c r="S29" s="37" t="s">
        <v>170</v>
      </c>
      <c r="T29" s="37" t="s">
        <v>170</v>
      </c>
      <c r="U29" s="37" t="s">
        <v>170</v>
      </c>
      <c r="V29" s="37" t="s">
        <v>170</v>
      </c>
      <c r="W29" s="37" t="s">
        <v>170</v>
      </c>
      <c r="X29" s="38" t="s">
        <v>51</v>
      </c>
      <c r="Y29" s="38" t="s">
        <v>50</v>
      </c>
      <c r="Z29" s="38" t="s">
        <v>50</v>
      </c>
      <c r="AA29" s="38" t="s">
        <v>50</v>
      </c>
      <c r="AB29" s="38" t="s">
        <v>50</v>
      </c>
    </row>
    <row r="30" spans="1:31" ht="21" customHeight="1">
      <c r="A30" s="29"/>
      <c r="B30" s="29"/>
      <c r="C30" s="29"/>
      <c r="D30" s="29"/>
      <c r="E30" s="9"/>
      <c r="F30" s="43" t="s">
        <v>25</v>
      </c>
      <c r="G30" s="43"/>
      <c r="H30" s="43"/>
      <c r="I30" s="43"/>
      <c r="J30" s="43"/>
      <c r="K30" s="43"/>
      <c r="L30" s="43"/>
      <c r="M30" s="43"/>
      <c r="N30" s="43"/>
      <c r="O30" s="43"/>
      <c r="P30" s="43"/>
      <c r="Q30" s="9"/>
      <c r="R30" s="43" t="str">
        <f>IF($AE$20=0,"SELECT A VALID RISK",INDEX('Risk Register'!$F$7:$F$106,$AE$20)&amp;" / ASSESSMENT SNAPSHOT")</f>
        <v>Missing MFA / ASSESSMENT SNAPSHOT</v>
      </c>
      <c r="S30" s="43"/>
      <c r="T30" s="43"/>
      <c r="U30" s="43"/>
      <c r="V30" s="43"/>
      <c r="W30" s="43"/>
      <c r="X30" s="43"/>
      <c r="Y30" s="43"/>
      <c r="Z30" s="43"/>
      <c r="AA30" s="43"/>
      <c r="AB30" s="43"/>
      <c r="AE30">
        <f ca="1">IF(OR('Remediation Tracker'!E7="",AND('Remediation Tracker'!I7="Approved",'Remediation Tracker'!J7="Completed",ISNUMBER('Remediation Tracker'!L7),'Remediation Tracker'!M7&lt;&gt;"",'Remediation Tracker'!N7="Validated")),0,IFERROR(INDEX('Risk Register'!$M$7:$M$106,MATCH('Remediation Tracker'!F7,'Risk Register'!$E$7:$E$106,0)),0)*10000+IF(AND(ISNUMBER('Remediation Tracker'!K7),'Remediation Tracker'!K7&lt;TODAY(),'Remediation Tracker'!J7&lt;&gt;"Completed"),1000,0)+107-ROW('Remediation Tracker'!E7))</f>
        <v>120100</v>
      </c>
    </row>
    <row r="31" spans="1:31" ht="21" customHeight="1">
      <c r="A31" s="29"/>
      <c r="B31" s="29"/>
      <c r="C31" s="29"/>
      <c r="D31" s="29"/>
      <c r="E31" s="9"/>
      <c r="F31" s="9"/>
      <c r="G31" s="9"/>
      <c r="H31" s="9"/>
      <c r="I31" s="9"/>
      <c r="J31" s="9"/>
      <c r="K31" s="9"/>
      <c r="L31" s="9"/>
      <c r="M31" s="9"/>
      <c r="N31" s="9"/>
      <c r="O31" s="9"/>
      <c r="P31" s="9"/>
      <c r="Q31" s="9"/>
      <c r="R31" s="9"/>
      <c r="S31" s="9"/>
      <c r="T31" s="9"/>
      <c r="U31" s="9"/>
      <c r="V31" s="9"/>
      <c r="W31" s="9"/>
      <c r="X31" s="9"/>
      <c r="Y31" s="9"/>
      <c r="Z31" s="9"/>
      <c r="AA31" s="9"/>
      <c r="AB31" s="9"/>
      <c r="AE31">
        <f ca="1">IF(OR('Remediation Tracker'!E8="",AND('Remediation Tracker'!I8="Approved",'Remediation Tracker'!J8="Completed",ISNUMBER('Remediation Tracker'!L8),'Remediation Tracker'!M8&lt;&gt;"",'Remediation Tracker'!N8="Validated")),0,IFERROR(INDEX('Risk Register'!$M$7:$M$106,MATCH('Remediation Tracker'!F8,'Risk Register'!$E$7:$E$106,0)),0)*10000+IF(AND(ISNUMBER('Remediation Tracker'!K8),'Remediation Tracker'!K8&lt;TODAY(),'Remediation Tracker'!J8&lt;&gt;"Completed"),1000,0)+107-ROW('Remediation Tracker'!E8))</f>
        <v>120099</v>
      </c>
    </row>
    <row r="32" spans="1:31" ht="21" customHeight="1">
      <c r="A32" s="29"/>
      <c r="B32" s="29"/>
      <c r="C32" s="29"/>
      <c r="D32" s="29"/>
      <c r="E32" s="9"/>
      <c r="F32" s="9"/>
      <c r="G32" s="9"/>
      <c r="H32" s="9"/>
      <c r="I32" s="9"/>
      <c r="J32" s="9"/>
      <c r="K32" s="9"/>
      <c r="L32" s="9"/>
      <c r="M32" s="9"/>
      <c r="N32" s="9"/>
      <c r="O32" s="9"/>
      <c r="P32" s="9"/>
      <c r="Q32" s="9"/>
      <c r="R32" s="67" t="str">
        <f>IF($AE$20=0,"No risk selected",INDEX('Risk Register'!$F$7:$F$106,$AE$20))</f>
        <v>Missing MFA</v>
      </c>
      <c r="S32" s="67"/>
      <c r="T32" s="67"/>
      <c r="U32" s="67"/>
      <c r="V32" s="67"/>
      <c r="W32" s="67"/>
      <c r="X32" s="67"/>
      <c r="Y32" s="68" t="str">
        <f>IF($AE$20=0,"",INDEX('Risk Register'!$M$7:$M$106,$AE$20)&amp;" / "&amp;INDEX('Risk Register'!$N$7:$N$106,$AE$20))</f>
        <v>12 / High</v>
      </c>
      <c r="Z32" s="68"/>
      <c r="AA32" s="68"/>
      <c r="AB32" s="68"/>
      <c r="AE32">
        <f ca="1">IF(OR('Remediation Tracker'!E9="",AND('Remediation Tracker'!I9="Approved",'Remediation Tracker'!J9="Completed",ISNUMBER('Remediation Tracker'!L9),'Remediation Tracker'!M9&lt;&gt;"",'Remediation Tracker'!N9="Validated")),0,IFERROR(INDEX('Risk Register'!$M$7:$M$106,MATCH('Remediation Tracker'!F9,'Risk Register'!$E$7:$E$106,0)),0)*10000+IF(AND(ISNUMBER('Remediation Tracker'!K9),'Remediation Tracker'!K9&lt;TODAY(),'Remediation Tracker'!J9&lt;&gt;"Completed"),1000,0)+107-ROW('Remediation Tracker'!E9))</f>
        <v>120098</v>
      </c>
    </row>
    <row r="33" spans="1:31" ht="21" customHeight="1">
      <c r="A33" s="29"/>
      <c r="B33" s="29"/>
      <c r="C33" s="29"/>
      <c r="D33" s="29"/>
      <c r="E33" s="9"/>
      <c r="F33" s="9"/>
      <c r="G33" s="9"/>
      <c r="H33" s="9"/>
      <c r="I33" s="9"/>
      <c r="J33" s="9"/>
      <c r="K33" s="9"/>
      <c r="L33" s="9"/>
      <c r="M33" s="9"/>
      <c r="N33" s="9"/>
      <c r="O33" s="9"/>
      <c r="P33" s="9"/>
      <c r="Q33" s="9"/>
      <c r="R33" s="67"/>
      <c r="S33" s="67"/>
      <c r="T33" s="67"/>
      <c r="U33" s="67"/>
      <c r="V33" s="67"/>
      <c r="W33" s="67"/>
      <c r="X33" s="67"/>
      <c r="Y33" s="68"/>
      <c r="Z33" s="68"/>
      <c r="AA33" s="68"/>
      <c r="AB33" s="68"/>
      <c r="AE33">
        <f ca="1">IF(OR('Remediation Tracker'!E10="",AND('Remediation Tracker'!I10="Approved",'Remediation Tracker'!J10="Completed",ISNUMBER('Remediation Tracker'!L10),'Remediation Tracker'!M10&lt;&gt;"",'Remediation Tracker'!N10="Validated")),0,IFERROR(INDEX('Risk Register'!$M$7:$M$106,MATCH('Remediation Tracker'!F10,'Risk Register'!$E$7:$E$106,0)),0)*10000+IF(AND(ISNUMBER('Remediation Tracker'!K10),'Remediation Tracker'!K10&lt;TODAY(),'Remediation Tracker'!J10&lt;&gt;"Completed"),1000,0)+107-ROW('Remediation Tracker'!E10))</f>
        <v>0</v>
      </c>
    </row>
    <row r="34" spans="1:31" ht="21" customHeight="1">
      <c r="A34" s="29"/>
      <c r="B34" s="29"/>
      <c r="C34" s="29"/>
      <c r="D34" s="29"/>
      <c r="E34" s="9"/>
      <c r="F34" s="9"/>
      <c r="G34" s="9"/>
      <c r="H34" s="9"/>
      <c r="I34" s="9"/>
      <c r="J34" s="9"/>
      <c r="K34" s="9"/>
      <c r="L34" s="9"/>
      <c r="M34" s="9"/>
      <c r="N34" s="9"/>
      <c r="O34" s="9"/>
      <c r="P34" s="9"/>
      <c r="Q34" s="9"/>
      <c r="R34" s="9"/>
      <c r="S34" s="9"/>
      <c r="T34" s="9"/>
      <c r="U34" s="9"/>
      <c r="V34" s="9"/>
      <c r="W34" s="9"/>
      <c r="X34" s="9"/>
      <c r="Y34" s="9"/>
      <c r="Z34" s="9"/>
      <c r="AA34" s="9"/>
      <c r="AB34" s="9"/>
      <c r="AE34">
        <f ca="1">IF(OR('Remediation Tracker'!E11="",AND('Remediation Tracker'!I11="Approved",'Remediation Tracker'!J11="Completed",ISNUMBER('Remediation Tracker'!L11),'Remediation Tracker'!M11&lt;&gt;"",'Remediation Tracker'!N11="Validated")),0,IFERROR(INDEX('Risk Register'!$M$7:$M$106,MATCH('Remediation Tracker'!F11,'Risk Register'!$E$7:$E$106,0)),0)*10000+IF(AND(ISNUMBER('Remediation Tracker'!K11),'Remediation Tracker'!K11&lt;TODAY(),'Remediation Tracker'!J11&lt;&gt;"Completed"),1000,0)+107-ROW('Remediation Tracker'!E11))</f>
        <v>0</v>
      </c>
    </row>
    <row r="35" spans="1:31" ht="21" customHeight="1">
      <c r="A35" s="29"/>
      <c r="B35" s="29"/>
      <c r="C35" s="29"/>
      <c r="D35" s="29"/>
      <c r="E35" s="9"/>
      <c r="F35" s="9"/>
      <c r="G35" s="9"/>
      <c r="H35" s="9"/>
      <c r="I35" s="9"/>
      <c r="J35" s="9"/>
      <c r="K35" s="9"/>
      <c r="L35" s="9"/>
      <c r="M35" s="9"/>
      <c r="N35" s="9"/>
      <c r="O35" s="9"/>
      <c r="P35" s="9"/>
      <c r="Q35" s="9"/>
      <c r="R35" s="69" t="str">
        <f>IF($AE$20=0,"Choose a risk above.","Validation: "&amp;INDEX('Risk Register'!$Q$7:$Q$106,$AE$20)&amp;". Owner: "&amp;INDEX('Risk Register'!$O$7:$O$106,$AE$20)&amp;". Workflow: "&amp;INDEX('Risk Register'!$R$7:$R$106,$AE$20)&amp;". See the scorecard and actions below for evidence and approval needs.")</f>
        <v>Validation: Pending validation. Owner: Security owner — proposed. Workflow: Proposed. See the scorecard and actions below for evidence and approval needs.</v>
      </c>
      <c r="S35" s="69"/>
      <c r="T35" s="69"/>
      <c r="U35" s="69"/>
      <c r="V35" s="69"/>
      <c r="W35" s="69"/>
      <c r="X35" s="69"/>
      <c r="Y35" s="69"/>
      <c r="Z35" s="69"/>
      <c r="AA35" s="69"/>
      <c r="AB35" s="69"/>
      <c r="AE35">
        <f ca="1">IF(OR('Remediation Tracker'!E12="",AND('Remediation Tracker'!I12="Approved",'Remediation Tracker'!J12="Completed",ISNUMBER('Remediation Tracker'!L12),'Remediation Tracker'!M12&lt;&gt;"",'Remediation Tracker'!N12="Validated")),0,IFERROR(INDEX('Risk Register'!$M$7:$M$106,MATCH('Remediation Tracker'!F12,'Risk Register'!$E$7:$E$106,0)),0)*10000+IF(AND(ISNUMBER('Remediation Tracker'!K12),'Remediation Tracker'!K12&lt;TODAY(),'Remediation Tracker'!J12&lt;&gt;"Completed"),1000,0)+107-ROW('Remediation Tracker'!E12))</f>
        <v>0</v>
      </c>
    </row>
    <row r="36" spans="1:31" ht="21" customHeight="1">
      <c r="A36" s="29"/>
      <c r="B36" s="29"/>
      <c r="C36" s="29"/>
      <c r="D36" s="29"/>
      <c r="E36" s="9"/>
      <c r="F36" s="9"/>
      <c r="G36" s="9"/>
      <c r="H36" s="9"/>
      <c r="I36" s="9"/>
      <c r="J36" s="9"/>
      <c r="K36" s="9"/>
      <c r="L36" s="9"/>
      <c r="M36" s="9"/>
      <c r="N36" s="9"/>
      <c r="O36" s="9"/>
      <c r="P36" s="9"/>
      <c r="Q36" s="9"/>
      <c r="R36" s="69"/>
      <c r="S36" s="69"/>
      <c r="T36" s="69"/>
      <c r="U36" s="69"/>
      <c r="V36" s="69"/>
      <c r="W36" s="69"/>
      <c r="X36" s="69"/>
      <c r="Y36" s="69"/>
      <c r="Z36" s="69"/>
      <c r="AA36" s="69"/>
      <c r="AB36" s="69"/>
      <c r="AE36">
        <f ca="1">IF(OR('Remediation Tracker'!E13="",AND('Remediation Tracker'!I13="Approved",'Remediation Tracker'!J13="Completed",ISNUMBER('Remediation Tracker'!L13),'Remediation Tracker'!M13&lt;&gt;"",'Remediation Tracker'!N13="Validated")),0,IFERROR(INDEX('Risk Register'!$M$7:$M$106,MATCH('Remediation Tracker'!F13,'Risk Register'!$E$7:$E$106,0)),0)*10000+IF(AND(ISNUMBER('Remediation Tracker'!K13),'Remediation Tracker'!K13&lt;TODAY(),'Remediation Tracker'!J13&lt;&gt;"Completed"),1000,0)+107-ROW('Remediation Tracker'!E13))</f>
        <v>0</v>
      </c>
    </row>
    <row r="37" spans="1:31" ht="21" customHeight="1">
      <c r="A37" s="29"/>
      <c r="B37" s="29"/>
      <c r="C37" s="29"/>
      <c r="D37" s="29"/>
      <c r="E37" s="9"/>
      <c r="F37" s="9"/>
      <c r="G37" s="9"/>
      <c r="H37" s="9"/>
      <c r="I37" s="9"/>
      <c r="J37" s="9"/>
      <c r="K37" s="9"/>
      <c r="L37" s="9"/>
      <c r="M37" s="9"/>
      <c r="N37" s="9"/>
      <c r="O37" s="9"/>
      <c r="P37" s="9"/>
      <c r="Q37" s="9"/>
      <c r="R37" s="69"/>
      <c r="S37" s="69"/>
      <c r="T37" s="69"/>
      <c r="U37" s="69"/>
      <c r="V37" s="69"/>
      <c r="W37" s="69"/>
      <c r="X37" s="69"/>
      <c r="Y37" s="69"/>
      <c r="Z37" s="69"/>
      <c r="AA37" s="69"/>
      <c r="AB37" s="69"/>
      <c r="AE37">
        <f ca="1">IF(OR('Remediation Tracker'!E14="",AND('Remediation Tracker'!I14="Approved",'Remediation Tracker'!J14="Completed",ISNUMBER('Remediation Tracker'!L14),'Remediation Tracker'!M14&lt;&gt;"",'Remediation Tracker'!N14="Validated")),0,IFERROR(INDEX('Risk Register'!$M$7:$M$106,MATCH('Remediation Tracker'!F14,'Risk Register'!$E$7:$E$106,0)),0)*10000+IF(AND(ISNUMBER('Remediation Tracker'!K14),'Remediation Tracker'!K14&lt;TODAY(),'Remediation Tracker'!J14&lt;&gt;"Completed"),1000,0)+107-ROW('Remediation Tracker'!E14))</f>
        <v>0</v>
      </c>
    </row>
    <row r="38" spans="1:31" ht="21" customHeight="1">
      <c r="A38" s="29"/>
      <c r="B38" s="29"/>
      <c r="C38" s="29"/>
      <c r="D38" s="29"/>
      <c r="E38" s="9"/>
      <c r="F38" s="9"/>
      <c r="G38" s="9"/>
      <c r="H38" s="9"/>
      <c r="I38" s="9"/>
      <c r="J38" s="9"/>
      <c r="K38" s="9"/>
      <c r="L38" s="9"/>
      <c r="M38" s="9"/>
      <c r="N38" s="9"/>
      <c r="O38" s="9"/>
      <c r="P38" s="9"/>
      <c r="Q38" s="9"/>
      <c r="R38" s="9"/>
      <c r="S38" s="9"/>
      <c r="T38" s="9"/>
      <c r="U38" s="9"/>
      <c r="V38" s="9"/>
      <c r="W38" s="9"/>
      <c r="X38" s="9"/>
      <c r="Y38" s="9"/>
      <c r="Z38" s="9"/>
      <c r="AA38" s="9"/>
      <c r="AB38" s="9"/>
      <c r="AE38">
        <f ca="1">IF(OR('Remediation Tracker'!E15="",AND('Remediation Tracker'!I15="Approved",'Remediation Tracker'!J15="Completed",ISNUMBER('Remediation Tracker'!L15),'Remediation Tracker'!M15&lt;&gt;"",'Remediation Tracker'!N15="Validated")),0,IFERROR(INDEX('Risk Register'!$M$7:$M$106,MATCH('Remediation Tracker'!F15,'Risk Register'!$E$7:$E$106,0)),0)*10000+IF(AND(ISNUMBER('Remediation Tracker'!K15),'Remediation Tracker'!K15&lt;TODAY(),'Remediation Tracker'!J15&lt;&gt;"Completed"),1000,0)+107-ROW('Remediation Tracker'!E15))</f>
        <v>0</v>
      </c>
    </row>
    <row r="39" spans="1:31" ht="21" customHeight="1">
      <c r="A39" s="29"/>
      <c r="B39" s="29"/>
      <c r="C39" s="29"/>
      <c r="D39" s="29"/>
      <c r="E39" s="9"/>
      <c r="F39" s="9"/>
      <c r="G39" s="9"/>
      <c r="H39" s="9"/>
      <c r="I39" s="9"/>
      <c r="J39" s="9"/>
      <c r="K39" s="9"/>
      <c r="L39" s="9"/>
      <c r="M39" s="9"/>
      <c r="N39" s="9"/>
      <c r="O39" s="9"/>
      <c r="P39" s="9"/>
      <c r="Q39" s="9"/>
      <c r="R39" s="42" t="s">
        <v>26</v>
      </c>
      <c r="S39" s="42"/>
      <c r="T39" s="42"/>
      <c r="U39" s="42"/>
      <c r="V39" s="42"/>
      <c r="W39" s="42"/>
      <c r="X39" s="42"/>
      <c r="Y39" s="42"/>
      <c r="Z39" s="42"/>
      <c r="AA39" s="26"/>
      <c r="AB39" s="26">
        <f>COUNTIFS('Evidence Tracker'!$E$7:$E$106,"&lt;&gt;",'Evidence Tracker'!$Q$7:$Q$106,"Validated")</f>
        <v>0</v>
      </c>
      <c r="AE39">
        <f ca="1">IF(OR('Remediation Tracker'!E16="",AND('Remediation Tracker'!I16="Approved",'Remediation Tracker'!J16="Completed",ISNUMBER('Remediation Tracker'!L16),'Remediation Tracker'!M16&lt;&gt;"",'Remediation Tracker'!N16="Validated")),0,IFERROR(INDEX('Risk Register'!$M$7:$M$106,MATCH('Remediation Tracker'!F16,'Risk Register'!$E$7:$E$106,0)),0)*10000+IF(AND(ISNUMBER('Remediation Tracker'!K16),'Remediation Tracker'!K16&lt;TODAY(),'Remediation Tracker'!J16&lt;&gt;"Completed"),1000,0)+107-ROW('Remediation Tracker'!E16))</f>
        <v>0</v>
      </c>
    </row>
    <row r="40" spans="1:31" ht="21" customHeight="1">
      <c r="A40" s="29"/>
      <c r="B40" s="29"/>
      <c r="C40" s="29"/>
      <c r="D40" s="29"/>
      <c r="E40" s="9"/>
      <c r="F40" s="9"/>
      <c r="G40" s="9"/>
      <c r="H40" s="9"/>
      <c r="I40" s="9"/>
      <c r="J40" s="9"/>
      <c r="K40" s="9"/>
      <c r="L40" s="9"/>
      <c r="M40" s="9"/>
      <c r="N40" s="9"/>
      <c r="O40" s="9"/>
      <c r="P40" s="9"/>
      <c r="Q40" s="9"/>
      <c r="R40" s="42" t="s">
        <v>27</v>
      </c>
      <c r="S40" s="42"/>
      <c r="T40" s="42"/>
      <c r="U40" s="42"/>
      <c r="V40" s="42"/>
      <c r="W40" s="42"/>
      <c r="X40" s="42"/>
      <c r="Y40" s="42"/>
      <c r="Z40" s="42"/>
      <c r="AA40" s="26"/>
      <c r="AB40" s="26">
        <f ca="1">COUNTIFS('Remediation Tracker'!$O$7:$O$106,"&gt;0")</f>
        <v>0</v>
      </c>
      <c r="AE40">
        <f ca="1">IF(OR('Remediation Tracker'!E17="",AND('Remediation Tracker'!I17="Approved",'Remediation Tracker'!J17="Completed",ISNUMBER('Remediation Tracker'!L17),'Remediation Tracker'!M17&lt;&gt;"",'Remediation Tracker'!N17="Validated")),0,IFERROR(INDEX('Risk Register'!$M$7:$M$106,MATCH('Remediation Tracker'!F17,'Risk Register'!$E$7:$E$106,0)),0)*10000+IF(AND(ISNUMBER('Remediation Tracker'!K17),'Remediation Tracker'!K17&lt;TODAY(),'Remediation Tracker'!J17&lt;&gt;"Completed"),1000,0)+107-ROW('Remediation Tracker'!E17))</f>
        <v>0</v>
      </c>
    </row>
    <row r="41" spans="1:31" ht="21" customHeight="1">
      <c r="A41" s="29"/>
      <c r="B41" s="29"/>
      <c r="C41" s="29"/>
      <c r="D41" s="29"/>
      <c r="E41" s="9"/>
      <c r="F41" s="9"/>
      <c r="G41" s="9"/>
      <c r="H41" s="9"/>
      <c r="I41" s="9"/>
      <c r="J41" s="9"/>
      <c r="K41" s="9"/>
      <c r="L41" s="9"/>
      <c r="M41" s="9"/>
      <c r="N41" s="9"/>
      <c r="O41" s="9"/>
      <c r="P41" s="9"/>
      <c r="Q41" s="9"/>
      <c r="R41" s="9"/>
      <c r="S41" s="9"/>
      <c r="T41" s="9"/>
      <c r="U41" s="9"/>
      <c r="V41" s="9"/>
      <c r="W41" s="9"/>
      <c r="X41" s="9"/>
      <c r="Y41" s="9"/>
      <c r="Z41" s="9"/>
      <c r="AA41" s="9"/>
      <c r="AB41" s="9"/>
      <c r="AE41">
        <f ca="1">IF(OR('Remediation Tracker'!E18="",AND('Remediation Tracker'!I18="Approved",'Remediation Tracker'!J18="Completed",ISNUMBER('Remediation Tracker'!L18),'Remediation Tracker'!M18&lt;&gt;"",'Remediation Tracker'!N18="Validated")),0,IFERROR(INDEX('Risk Register'!$M$7:$M$106,MATCH('Remediation Tracker'!F18,'Risk Register'!$E$7:$E$106,0)),0)*10000+IF(AND(ISNUMBER('Remediation Tracker'!K18),'Remediation Tracker'!K18&lt;TODAY(),'Remediation Tracker'!J18&lt;&gt;"Completed"),1000,0)+107-ROW('Remediation Tracker'!E18))</f>
        <v>0</v>
      </c>
    </row>
    <row r="42" spans="1:31" ht="21" customHeight="1">
      <c r="A42" s="29"/>
      <c r="B42" s="29"/>
      <c r="C42" s="29"/>
      <c r="D42" s="29"/>
      <c r="E42" s="9"/>
      <c r="F42" s="9"/>
      <c r="G42" s="9"/>
      <c r="H42" s="9"/>
      <c r="I42" s="9"/>
      <c r="J42" s="9"/>
      <c r="K42" s="9"/>
      <c r="L42" s="9"/>
      <c r="M42" s="9"/>
      <c r="N42" s="9"/>
      <c r="O42" s="9"/>
      <c r="P42" s="9"/>
      <c r="Q42" s="9"/>
      <c r="R42" s="9"/>
      <c r="S42" s="9"/>
      <c r="T42" s="9"/>
      <c r="U42" s="9"/>
      <c r="V42" s="9"/>
      <c r="W42" s="9"/>
      <c r="X42" s="9"/>
      <c r="Y42" s="9"/>
      <c r="Z42" s="9"/>
      <c r="AA42" s="9"/>
      <c r="AB42" s="9"/>
      <c r="AE42">
        <f ca="1">IF(OR('Remediation Tracker'!E19="",AND('Remediation Tracker'!I19="Approved",'Remediation Tracker'!J19="Completed",ISNUMBER('Remediation Tracker'!L19),'Remediation Tracker'!M19&lt;&gt;"",'Remediation Tracker'!N19="Validated")),0,IFERROR(INDEX('Risk Register'!$M$7:$M$106,MATCH('Remediation Tracker'!F19,'Risk Register'!$E$7:$E$106,0)),0)*10000+IF(AND(ISNUMBER('Remediation Tracker'!K19),'Remediation Tracker'!K19&lt;TODAY(),'Remediation Tracker'!J19&lt;&gt;"Completed"),1000,0)+107-ROW('Remediation Tracker'!E19))</f>
        <v>0</v>
      </c>
    </row>
    <row r="43" spans="1:31" ht="21" customHeight="1">
      <c r="A43" s="29"/>
      <c r="B43" s="29"/>
      <c r="C43" s="29"/>
      <c r="D43" s="29"/>
      <c r="E43" s="9"/>
      <c r="F43" s="41" t="s">
        <v>171</v>
      </c>
      <c r="G43" s="41"/>
      <c r="H43" s="41"/>
      <c r="I43" s="41"/>
      <c r="J43" s="41"/>
      <c r="K43" s="41"/>
      <c r="L43" s="41"/>
      <c r="M43" s="41"/>
      <c r="N43" s="41"/>
      <c r="O43" s="41"/>
      <c r="P43" s="41"/>
      <c r="Q43" s="41"/>
      <c r="R43" s="41"/>
      <c r="S43" s="41"/>
      <c r="T43" s="41"/>
      <c r="U43" s="41"/>
      <c r="V43" s="41"/>
      <c r="W43" s="41"/>
      <c r="X43" s="41"/>
      <c r="Y43" s="41"/>
      <c r="Z43" s="41"/>
      <c r="AA43" s="41"/>
      <c r="AB43" s="41"/>
      <c r="AE43">
        <f ca="1">IF(OR('Remediation Tracker'!E20="",AND('Remediation Tracker'!I20="Approved",'Remediation Tracker'!J20="Completed",ISNUMBER('Remediation Tracker'!L20),'Remediation Tracker'!M20&lt;&gt;"",'Remediation Tracker'!N20="Validated")),0,IFERROR(INDEX('Risk Register'!$M$7:$M$106,MATCH('Remediation Tracker'!F20,'Risk Register'!$E$7:$E$106,0)),0)*10000+IF(AND(ISNUMBER('Remediation Tracker'!K20),'Remediation Tracker'!K20&lt;TODAY(),'Remediation Tracker'!J20&lt;&gt;"Completed"),1000,0)+107-ROW('Remediation Tracker'!E20))</f>
        <v>0</v>
      </c>
    </row>
    <row r="44" spans="1:31" ht="21" customHeight="1">
      <c r="A44" s="29"/>
      <c r="B44" s="29"/>
      <c r="C44" s="29"/>
      <c r="D44" s="29"/>
      <c r="E44" s="9"/>
      <c r="F44" s="41"/>
      <c r="G44" s="41"/>
      <c r="H44" s="41"/>
      <c r="I44" s="41"/>
      <c r="J44" s="41"/>
      <c r="K44" s="41"/>
      <c r="L44" s="41"/>
      <c r="M44" s="41"/>
      <c r="N44" s="41"/>
      <c r="O44" s="41"/>
      <c r="P44" s="41"/>
      <c r="Q44" s="41"/>
      <c r="R44" s="41"/>
      <c r="S44" s="41"/>
      <c r="T44" s="41"/>
      <c r="U44" s="41"/>
      <c r="V44" s="41"/>
      <c r="W44" s="41"/>
      <c r="X44" s="41"/>
      <c r="Y44" s="41"/>
      <c r="Z44" s="41"/>
      <c r="AA44" s="41"/>
      <c r="AB44" s="41"/>
      <c r="AE44">
        <f ca="1">IF(OR('Remediation Tracker'!E21="",AND('Remediation Tracker'!I21="Approved",'Remediation Tracker'!J21="Completed",ISNUMBER('Remediation Tracker'!L21),'Remediation Tracker'!M21&lt;&gt;"",'Remediation Tracker'!N21="Validated")),0,IFERROR(INDEX('Risk Register'!$M$7:$M$106,MATCH('Remediation Tracker'!F21,'Risk Register'!$E$7:$E$106,0)),0)*10000+IF(AND(ISNUMBER('Remediation Tracker'!K21),'Remediation Tracker'!K21&lt;TODAY(),'Remediation Tracker'!J21&lt;&gt;"Completed"),1000,0)+107-ROW('Remediation Tracker'!E21))</f>
        <v>0</v>
      </c>
    </row>
    <row r="45" spans="1:31" ht="24.95" customHeight="1">
      <c r="A45" s="29"/>
      <c r="B45" s="29"/>
      <c r="C45" s="29"/>
      <c r="D45" s="29"/>
      <c r="E45" s="9"/>
      <c r="F45" s="9"/>
      <c r="G45" s="9"/>
      <c r="H45" s="9"/>
      <c r="I45" s="9"/>
      <c r="J45" s="9"/>
      <c r="K45" s="9"/>
      <c r="L45" s="9"/>
      <c r="M45" s="9"/>
      <c r="N45" s="9"/>
      <c r="O45" s="9"/>
      <c r="P45" s="9"/>
      <c r="Q45" s="9"/>
      <c r="R45" s="9"/>
      <c r="S45" s="9"/>
      <c r="T45" s="9"/>
      <c r="U45" s="9"/>
      <c r="V45" s="9"/>
      <c r="W45" s="9"/>
      <c r="X45" s="9"/>
      <c r="Y45" s="9"/>
      <c r="Z45" s="9"/>
      <c r="AA45" s="9"/>
      <c r="AB45" s="9"/>
      <c r="AE45">
        <f ca="1">IF(OR('Remediation Tracker'!E22="",AND('Remediation Tracker'!I22="Approved",'Remediation Tracker'!J22="Completed",ISNUMBER('Remediation Tracker'!L22),'Remediation Tracker'!M22&lt;&gt;"",'Remediation Tracker'!N22="Validated")),0,IFERROR(INDEX('Risk Register'!$M$7:$M$106,MATCH('Remediation Tracker'!F22,'Risk Register'!$E$7:$E$106,0)),0)*10000+IF(AND(ISNUMBER('Remediation Tracker'!K22),'Remediation Tracker'!K22&lt;TODAY(),'Remediation Tracker'!J22&lt;&gt;"Completed"),1000,0)+107-ROW('Remediation Tracker'!E22))</f>
        <v>0</v>
      </c>
    </row>
    <row r="46" spans="1:31" ht="24.95" customHeight="1">
      <c r="A46" s="29"/>
      <c r="B46" s="29"/>
      <c r="C46" s="29"/>
      <c r="D46" s="29"/>
      <c r="E46" s="9"/>
      <c r="F46" s="32" t="s">
        <v>172</v>
      </c>
      <c r="G46" s="32" t="s">
        <v>172</v>
      </c>
      <c r="H46" s="32" t="s">
        <v>172</v>
      </c>
      <c r="I46" s="32" t="s">
        <v>172</v>
      </c>
      <c r="J46" s="32" t="s">
        <v>172</v>
      </c>
      <c r="K46" s="32" t="s">
        <v>172</v>
      </c>
      <c r="L46" s="32" t="s">
        <v>172</v>
      </c>
      <c r="M46" s="32" t="s">
        <v>172</v>
      </c>
      <c r="N46" s="32" t="s">
        <v>172</v>
      </c>
      <c r="O46" s="32" t="s">
        <v>172</v>
      </c>
      <c r="P46" s="32" t="s">
        <v>172</v>
      </c>
      <c r="Q46" s="32" t="s">
        <v>172</v>
      </c>
      <c r="R46" s="32" t="s">
        <v>172</v>
      </c>
      <c r="S46" s="32" t="s">
        <v>172</v>
      </c>
      <c r="T46" s="32" t="s">
        <v>172</v>
      </c>
      <c r="U46" s="32" t="s">
        <v>172</v>
      </c>
      <c r="V46" s="32" t="s">
        <v>172</v>
      </c>
      <c r="W46" s="32" t="s">
        <v>172</v>
      </c>
      <c r="X46" s="32" t="s">
        <v>172</v>
      </c>
      <c r="Y46" s="32" t="s">
        <v>172</v>
      </c>
      <c r="Z46" s="32" t="s">
        <v>172</v>
      </c>
      <c r="AA46" s="32" t="s">
        <v>172</v>
      </c>
      <c r="AB46" s="32" t="s">
        <v>172</v>
      </c>
      <c r="AE46">
        <f ca="1">IF(OR('Remediation Tracker'!E23="",AND('Remediation Tracker'!I23="Approved",'Remediation Tracker'!J23="Completed",ISNUMBER('Remediation Tracker'!L23),'Remediation Tracker'!M23&lt;&gt;"",'Remediation Tracker'!N23="Validated")),0,IFERROR(INDEX('Risk Register'!$M$7:$M$106,MATCH('Remediation Tracker'!F23,'Risk Register'!$E$7:$E$106,0)),0)*10000+IF(AND(ISNUMBER('Remediation Tracker'!K23),'Remediation Tracker'!K23&lt;TODAY(),'Remediation Tracker'!J23&lt;&gt;"Completed"),1000,0)+107-ROW('Remediation Tracker'!E23))</f>
        <v>0</v>
      </c>
    </row>
    <row r="47" spans="1:31" ht="24.95" customHeight="1">
      <c r="A47" s="29"/>
      <c r="B47" s="29"/>
      <c r="C47" s="29"/>
      <c r="D47" s="29"/>
      <c r="E47" s="9"/>
      <c r="F47" s="25"/>
      <c r="G47" s="25"/>
      <c r="H47" s="25"/>
      <c r="I47" s="25"/>
      <c r="J47" s="25"/>
      <c r="K47" s="25"/>
      <c r="L47" s="25"/>
      <c r="M47" s="25"/>
      <c r="N47" s="25"/>
      <c r="O47" s="25"/>
      <c r="P47" s="25"/>
      <c r="Q47" s="25"/>
      <c r="R47" s="25"/>
      <c r="S47" s="25"/>
      <c r="T47" s="25"/>
      <c r="U47" s="25"/>
      <c r="V47" s="25"/>
      <c r="W47" s="25"/>
      <c r="X47" s="25"/>
      <c r="Y47" s="25"/>
      <c r="Z47" s="25"/>
      <c r="AA47" s="25"/>
      <c r="AB47" s="25"/>
      <c r="AE47">
        <f ca="1">IF(OR('Remediation Tracker'!E24="",AND('Remediation Tracker'!I24="Approved",'Remediation Tracker'!J24="Completed",ISNUMBER('Remediation Tracker'!L24),'Remediation Tracker'!M24&lt;&gt;"",'Remediation Tracker'!N24="Validated")),0,IFERROR(INDEX('Risk Register'!$M$7:$M$106,MATCH('Remediation Tracker'!F24,'Risk Register'!$E$7:$E$106,0)),0)*10000+IF(AND(ISNUMBER('Remediation Tracker'!K24),'Remediation Tracker'!K24&lt;TODAY(),'Remediation Tracker'!J24&lt;&gt;"Completed"),1000,0)+107-ROW('Remediation Tracker'!E24))</f>
        <v>0</v>
      </c>
    </row>
    <row r="48" spans="1:31" ht="24.95" customHeight="1">
      <c r="A48" s="29"/>
      <c r="B48" s="29"/>
      <c r="C48" s="29"/>
      <c r="D48" s="29"/>
      <c r="E48" s="9"/>
      <c r="F48" s="39" t="s">
        <v>173</v>
      </c>
      <c r="G48" s="39" t="s">
        <v>173</v>
      </c>
      <c r="H48" s="39" t="s">
        <v>173</v>
      </c>
      <c r="I48" s="39" t="s">
        <v>173</v>
      </c>
      <c r="J48" s="39" t="s">
        <v>173</v>
      </c>
      <c r="K48" s="25"/>
      <c r="L48" s="39" t="s">
        <v>174</v>
      </c>
      <c r="M48" s="39" t="s">
        <v>174</v>
      </c>
      <c r="N48" s="39" t="s">
        <v>174</v>
      </c>
      <c r="O48" s="39" t="s">
        <v>174</v>
      </c>
      <c r="P48" s="39" t="s">
        <v>174</v>
      </c>
      <c r="Q48" s="25"/>
      <c r="R48" s="39" t="s">
        <v>175</v>
      </c>
      <c r="S48" s="39" t="s">
        <v>175</v>
      </c>
      <c r="T48" s="39" t="s">
        <v>175</v>
      </c>
      <c r="U48" s="39" t="s">
        <v>175</v>
      </c>
      <c r="V48" s="39" t="s">
        <v>175</v>
      </c>
      <c r="W48" s="25"/>
      <c r="X48" s="39" t="s">
        <v>176</v>
      </c>
      <c r="Y48" s="39" t="s">
        <v>176</v>
      </c>
      <c r="Z48" s="39" t="s">
        <v>176</v>
      </c>
      <c r="AA48" s="39" t="s">
        <v>176</v>
      </c>
      <c r="AB48" s="39" t="s">
        <v>176</v>
      </c>
      <c r="AE48">
        <f ca="1">IF(OR('Remediation Tracker'!E25="",AND('Remediation Tracker'!I25="Approved",'Remediation Tracker'!J25="Completed",ISNUMBER('Remediation Tracker'!L25),'Remediation Tracker'!M25&lt;&gt;"",'Remediation Tracker'!N25="Validated")),0,IFERROR(INDEX('Risk Register'!$M$7:$M$106,MATCH('Remediation Tracker'!F25,'Risk Register'!$E$7:$E$106,0)),0)*10000+IF(AND(ISNUMBER('Remediation Tracker'!K25),'Remediation Tracker'!K25&lt;TODAY(),'Remediation Tracker'!J25&lt;&gt;"Completed"),1000,0)+107-ROW('Remediation Tracker'!E25))</f>
        <v>0</v>
      </c>
    </row>
    <row r="49" spans="1:31" ht="24.95" customHeight="1">
      <c r="A49" s="29"/>
      <c r="B49" s="29"/>
      <c r="C49" s="29"/>
      <c r="D49" s="29"/>
      <c r="E49" s="9"/>
      <c r="F49" s="40">
        <f>COUNTIFS('Control Assessment'!$E$7:$E$106,"&lt;&gt;",'Control Assessment'!$J$7:$J$106,"&lt;&gt;",'Control Assessment'!$J$7:$J$106,"&lt;&gt;Not assessed",'Control Assessment'!$K$7:$K$106,"&lt;&gt;",'Control Assessment'!$K$7:$K$106,"&lt;&gt;Not assessed")</f>
        <v>0</v>
      </c>
      <c r="G49" s="40"/>
      <c r="H49" s="40"/>
      <c r="I49" s="40"/>
      <c r="J49" s="40"/>
      <c r="K49" s="25"/>
      <c r="L49" s="40">
        <f>COUNTIFS('Evidence Tracker'!$E$7:$E$106,"&lt;&gt;",'Evidence Tracker'!$N$7:$N$106,"Reviewed")</f>
        <v>0</v>
      </c>
      <c r="M49" s="40"/>
      <c r="N49" s="40"/>
      <c r="O49" s="40"/>
      <c r="P49" s="40"/>
      <c r="Q49" s="25"/>
      <c r="R49" s="40">
        <f>COUNTIFS('Remediation Tracker'!$E$7:$E$106,"&lt;&gt;",'Remediation Tracker'!$I$7:$I$106,"Approved",'Remediation Tracker'!$J$7:$J$106,"Completed",'Remediation Tracker'!$L$7:$L$106,"&gt;0",'Remediation Tracker'!$M$7:$M$106,"&lt;&gt;",'Remediation Tracker'!$N$7:$N$106,"Validated")</f>
        <v>0</v>
      </c>
      <c r="S49" s="40"/>
      <c r="T49" s="40"/>
      <c r="U49" s="40"/>
      <c r="V49" s="40"/>
      <c r="W49" s="25"/>
      <c r="X49" s="40">
        <f>COUNTIFS('Remediation Tracker'!$E$7:$E$106,"&lt;&gt;",'Remediation Tracker'!$J$7:$J$106,"&lt;&gt;Completed",'Remediation Tracker'!$K$7:$K$106,"=")</f>
        <v>3</v>
      </c>
      <c r="Y49" s="40"/>
      <c r="Z49" s="40"/>
      <c r="AA49" s="40"/>
      <c r="AB49" s="40"/>
      <c r="AE49">
        <f ca="1">IF(OR('Remediation Tracker'!E26="",AND('Remediation Tracker'!I26="Approved",'Remediation Tracker'!J26="Completed",ISNUMBER('Remediation Tracker'!L26),'Remediation Tracker'!M26&lt;&gt;"",'Remediation Tracker'!N26="Validated")),0,IFERROR(INDEX('Risk Register'!$M$7:$M$106,MATCH('Remediation Tracker'!F26,'Risk Register'!$E$7:$E$106,0)),0)*10000+IF(AND(ISNUMBER('Remediation Tracker'!K26),'Remediation Tracker'!K26&lt;TODAY(),'Remediation Tracker'!J26&lt;&gt;"Completed"),1000,0)+107-ROW('Remediation Tracker'!E26))</f>
        <v>0</v>
      </c>
    </row>
    <row r="50" spans="1:31" ht="24.95" customHeight="1">
      <c r="A50" s="29"/>
      <c r="B50" s="29"/>
      <c r="C50" s="29"/>
      <c r="D50" s="29"/>
      <c r="E50" s="9"/>
      <c r="F50" s="40"/>
      <c r="G50" s="40"/>
      <c r="H50" s="40"/>
      <c r="I50" s="40"/>
      <c r="J50" s="40"/>
      <c r="K50" s="25"/>
      <c r="L50" s="40"/>
      <c r="M50" s="40"/>
      <c r="N50" s="40"/>
      <c r="O50" s="40"/>
      <c r="P50" s="40"/>
      <c r="Q50" s="25"/>
      <c r="R50" s="40"/>
      <c r="S50" s="40"/>
      <c r="T50" s="40"/>
      <c r="U50" s="40"/>
      <c r="V50" s="40"/>
      <c r="W50" s="25"/>
      <c r="X50" s="40"/>
      <c r="Y50" s="40"/>
      <c r="Z50" s="40"/>
      <c r="AA50" s="40"/>
      <c r="AB50" s="40"/>
      <c r="AE50">
        <f ca="1">IF(OR('Remediation Tracker'!E27="",AND('Remediation Tracker'!I27="Approved",'Remediation Tracker'!J27="Completed",ISNUMBER('Remediation Tracker'!L27),'Remediation Tracker'!M27&lt;&gt;"",'Remediation Tracker'!N27="Validated")),0,IFERROR(INDEX('Risk Register'!$M$7:$M$106,MATCH('Remediation Tracker'!F27,'Risk Register'!$E$7:$E$106,0)),0)*10000+IF(AND(ISNUMBER('Remediation Tracker'!K27),'Remediation Tracker'!K27&lt;TODAY(),'Remediation Tracker'!J27&lt;&gt;"Completed"),1000,0)+107-ROW('Remediation Tracker'!E27))</f>
        <v>0</v>
      </c>
    </row>
    <row r="51" spans="1:31" ht="24.95" customHeight="1">
      <c r="A51" s="29"/>
      <c r="B51" s="29"/>
      <c r="C51" s="29"/>
      <c r="D51" s="29"/>
      <c r="E51" s="9"/>
      <c r="F51" s="25"/>
      <c r="G51" s="25"/>
      <c r="H51" s="25"/>
      <c r="I51" s="25"/>
      <c r="J51" s="25"/>
      <c r="K51" s="25"/>
      <c r="L51" s="25"/>
      <c r="M51" s="25"/>
      <c r="N51" s="25"/>
      <c r="O51" s="25"/>
      <c r="P51" s="25"/>
      <c r="Q51" s="25"/>
      <c r="R51" s="25"/>
      <c r="S51" s="25"/>
      <c r="T51" s="25"/>
      <c r="U51" s="25"/>
      <c r="V51" s="25"/>
      <c r="W51" s="25"/>
      <c r="X51" s="25"/>
      <c r="Y51" s="25"/>
      <c r="Z51" s="25"/>
      <c r="AA51" s="25"/>
      <c r="AB51" s="25"/>
      <c r="AE51">
        <f ca="1">IF(OR('Remediation Tracker'!E28="",AND('Remediation Tracker'!I28="Approved",'Remediation Tracker'!J28="Completed",ISNUMBER('Remediation Tracker'!L28),'Remediation Tracker'!M28&lt;&gt;"",'Remediation Tracker'!N28="Validated")),0,IFERROR(INDEX('Risk Register'!$M$7:$M$106,MATCH('Remediation Tracker'!F28,'Risk Register'!$E$7:$E$106,0)),0)*10000+IF(AND(ISNUMBER('Remediation Tracker'!K28),'Remediation Tracker'!K28&lt;TODAY(),'Remediation Tracker'!J28&lt;&gt;"Completed"),1000,0)+107-ROW('Remediation Tracker'!E28))</f>
        <v>0</v>
      </c>
    </row>
    <row r="52" spans="1:31" ht="24.95" customHeight="1">
      <c r="A52" s="29"/>
      <c r="B52" s="29"/>
      <c r="C52" s="29"/>
      <c r="D52" s="29"/>
      <c r="E52" s="9"/>
      <c r="F52" s="32" t="s">
        <v>177</v>
      </c>
      <c r="G52" s="32" t="s">
        <v>177</v>
      </c>
      <c r="H52" s="32" t="s">
        <v>177</v>
      </c>
      <c r="I52" s="32" t="s">
        <v>177</v>
      </c>
      <c r="J52" s="32" t="s">
        <v>177</v>
      </c>
      <c r="K52" s="32" t="s">
        <v>177</v>
      </c>
      <c r="L52" s="32" t="s">
        <v>177</v>
      </c>
      <c r="M52" s="32" t="s">
        <v>177</v>
      </c>
      <c r="N52" s="32" t="s">
        <v>177</v>
      </c>
      <c r="O52" s="32" t="s">
        <v>177</v>
      </c>
      <c r="P52" s="32" t="s">
        <v>177</v>
      </c>
      <c r="Q52" s="32" t="s">
        <v>177</v>
      </c>
      <c r="R52" s="32" t="s">
        <v>177</v>
      </c>
      <c r="S52" s="32" t="s">
        <v>177</v>
      </c>
      <c r="T52" s="32" t="s">
        <v>177</v>
      </c>
      <c r="U52" s="32" t="s">
        <v>177</v>
      </c>
      <c r="V52" s="32" t="s">
        <v>177</v>
      </c>
      <c r="W52" s="32" t="s">
        <v>177</v>
      </c>
      <c r="X52" s="32" t="s">
        <v>177</v>
      </c>
      <c r="Y52" s="32" t="s">
        <v>177</v>
      </c>
      <c r="Z52" s="32" t="s">
        <v>177</v>
      </c>
      <c r="AA52" s="32" t="s">
        <v>177</v>
      </c>
      <c r="AB52" s="32" t="s">
        <v>177</v>
      </c>
      <c r="AE52">
        <f ca="1">IF(OR('Remediation Tracker'!E29="",AND('Remediation Tracker'!I29="Approved",'Remediation Tracker'!J29="Completed",ISNUMBER('Remediation Tracker'!L29),'Remediation Tracker'!M29&lt;&gt;"",'Remediation Tracker'!N29="Validated")),0,IFERROR(INDEX('Risk Register'!$M$7:$M$106,MATCH('Remediation Tracker'!F29,'Risk Register'!$E$7:$E$106,0)),0)*10000+IF(AND(ISNUMBER('Remediation Tracker'!K29),'Remediation Tracker'!K29&lt;TODAY(),'Remediation Tracker'!J29&lt;&gt;"Completed"),1000,0)+107-ROW('Remediation Tracker'!E29))</f>
        <v>0</v>
      </c>
    </row>
    <row r="53" spans="1:31" ht="24.95" customHeight="1">
      <c r="A53" s="29"/>
      <c r="B53" s="29"/>
      <c r="C53" s="29"/>
      <c r="D53" s="29"/>
      <c r="E53" s="9"/>
      <c r="F53" s="33" t="str">
        <f>COUNTA('Risk Register'!$E$7:$E$106)&amp;" risks recorded; "&amp;COUNTIFS('Risk Register'!$E$7:$E$106,"&lt;&gt;",'Risk Register'!$Q$7:$Q$106,"Pending validation")&amp;" await validation. "&amp;COUNTIFS('Control Assessment'!$E$7:$E$106,"&lt;&gt;",'Control Assessment'!$J$7:$J$106,"Not assessed")&amp;" controls have no design assessment; "&amp;COUNTIFS('Control Assessment'!$E$7:$E$106,"&lt;&gt;",'Control Assessment'!$K$7:$K$106,"Not assessed")&amp;" have no operating assessment."</f>
        <v>3 risks recorded; 3 await validation. 3 controls have no design assessment; 3 have no operating assessment.</v>
      </c>
      <c r="G53" s="33"/>
      <c r="H53" s="33"/>
      <c r="I53" s="33"/>
      <c r="J53" s="33"/>
      <c r="K53" s="33"/>
      <c r="L53" s="33"/>
      <c r="M53" s="33"/>
      <c r="N53" s="33"/>
      <c r="O53" s="33"/>
      <c r="P53" s="33"/>
      <c r="Q53" s="33"/>
      <c r="R53" s="33"/>
      <c r="S53" s="33"/>
      <c r="T53" s="33"/>
      <c r="U53" s="33"/>
      <c r="V53" s="33"/>
      <c r="W53" s="33"/>
      <c r="X53" s="33"/>
      <c r="Y53" s="33"/>
      <c r="Z53" s="33"/>
      <c r="AA53" s="33"/>
      <c r="AB53" s="33"/>
      <c r="AE53">
        <f ca="1">IF(OR('Remediation Tracker'!E30="",AND('Remediation Tracker'!I30="Approved",'Remediation Tracker'!J30="Completed",ISNUMBER('Remediation Tracker'!L30),'Remediation Tracker'!M30&lt;&gt;"",'Remediation Tracker'!N30="Validated")),0,IFERROR(INDEX('Risk Register'!$M$7:$M$106,MATCH('Remediation Tracker'!F30,'Risk Register'!$E$7:$E$106,0)),0)*10000+IF(AND(ISNUMBER('Remediation Tracker'!K30),'Remediation Tracker'!K30&lt;TODAY(),'Remediation Tracker'!J30&lt;&gt;"Completed"),1000,0)+107-ROW('Remediation Tracker'!E30))</f>
        <v>0</v>
      </c>
    </row>
    <row r="54" spans="1:31" ht="24.95" customHeight="1">
      <c r="A54" s="29"/>
      <c r="B54" s="29"/>
      <c r="C54" s="29"/>
      <c r="D54" s="29"/>
      <c r="E54" s="9"/>
      <c r="F54" s="33"/>
      <c r="G54" s="33"/>
      <c r="H54" s="33"/>
      <c r="I54" s="33"/>
      <c r="J54" s="33"/>
      <c r="K54" s="33"/>
      <c r="L54" s="33"/>
      <c r="M54" s="33"/>
      <c r="N54" s="33"/>
      <c r="O54" s="33"/>
      <c r="P54" s="33"/>
      <c r="Q54" s="33"/>
      <c r="R54" s="33"/>
      <c r="S54" s="33"/>
      <c r="T54" s="33"/>
      <c r="U54" s="33"/>
      <c r="V54" s="33"/>
      <c r="W54" s="33"/>
      <c r="X54" s="33"/>
      <c r="Y54" s="33"/>
      <c r="Z54" s="33"/>
      <c r="AA54" s="33"/>
      <c r="AB54" s="33"/>
      <c r="AE54">
        <f ca="1">IF(OR('Remediation Tracker'!E31="",AND('Remediation Tracker'!I31="Approved",'Remediation Tracker'!J31="Completed",ISNUMBER('Remediation Tracker'!L31),'Remediation Tracker'!M31&lt;&gt;"",'Remediation Tracker'!N31="Validated")),0,IFERROR(INDEX('Risk Register'!$M$7:$M$106,MATCH('Remediation Tracker'!F31,'Risk Register'!$E$7:$E$106,0)),0)*10000+IF(AND(ISNUMBER('Remediation Tracker'!K31),'Remediation Tracker'!K31&lt;TODAY(),'Remediation Tracker'!J31&lt;&gt;"Completed"),1000,0)+107-ROW('Remediation Tracker'!E31))</f>
        <v>0</v>
      </c>
    </row>
    <row r="55" spans="1:31" ht="24.95" customHeight="1">
      <c r="A55" s="29"/>
      <c r="B55" s="29"/>
      <c r="C55" s="29"/>
      <c r="D55" s="29"/>
      <c r="E55" s="9"/>
      <c r="F55" s="33" t="str">
        <f>COUNTIFS('Evidence Tracker'!$E$7:$E$106,"&lt;&gt;",'Evidence Tracker'!$N$7:$N$106,"Planned request")&amp;" evidence requests remain planned; "&amp;COUNTIFS('Evidence Tracker'!$E$7:$E$106,"&lt;&gt;",'Evidence Tracker'!$N$7:$N$106,"Reviewed")&amp;" are reviewed. "&amp;COUNTIFS('Remediation Tracker'!$E$7:$E$106,"&lt;&gt;",'Remediation Tracker'!$I$7:$I$106,"Pending approval")&amp;" actions await approval; "&amp;X49&amp;" open actions have no target date."</f>
        <v>3 evidence requests remain planned; 0 are reviewed. 3 actions await approval; 3 open actions have no target date.</v>
      </c>
      <c r="G55" s="33"/>
      <c r="H55" s="33"/>
      <c r="I55" s="33"/>
      <c r="J55" s="33"/>
      <c r="K55" s="33"/>
      <c r="L55" s="33"/>
      <c r="M55" s="33"/>
      <c r="N55" s="33"/>
      <c r="O55" s="33"/>
      <c r="P55" s="33"/>
      <c r="Q55" s="33"/>
      <c r="R55" s="33"/>
      <c r="S55" s="33"/>
      <c r="T55" s="33"/>
      <c r="U55" s="33"/>
      <c r="V55" s="33"/>
      <c r="W55" s="33"/>
      <c r="X55" s="33"/>
      <c r="Y55" s="33"/>
      <c r="Z55" s="33"/>
      <c r="AA55" s="33"/>
      <c r="AB55" s="33"/>
      <c r="AE55">
        <f ca="1">IF(OR('Remediation Tracker'!E32="",AND('Remediation Tracker'!I32="Approved",'Remediation Tracker'!J32="Completed",ISNUMBER('Remediation Tracker'!L32),'Remediation Tracker'!M32&lt;&gt;"",'Remediation Tracker'!N32="Validated")),0,IFERROR(INDEX('Risk Register'!$M$7:$M$106,MATCH('Remediation Tracker'!F32,'Risk Register'!$E$7:$E$106,0)),0)*10000+IF(AND(ISNUMBER('Remediation Tracker'!K32),'Remediation Tracker'!K32&lt;TODAY(),'Remediation Tracker'!J32&lt;&gt;"Completed"),1000,0)+107-ROW('Remediation Tracker'!E32))</f>
        <v>0</v>
      </c>
    </row>
    <row r="56" spans="1:31" ht="24.95" customHeight="1">
      <c r="A56" s="29"/>
      <c r="B56" s="29"/>
      <c r="C56" s="29"/>
      <c r="D56" s="29"/>
      <c r="E56" s="9"/>
      <c r="F56" s="33"/>
      <c r="G56" s="33"/>
      <c r="H56" s="33"/>
      <c r="I56" s="33"/>
      <c r="J56" s="33"/>
      <c r="K56" s="33"/>
      <c r="L56" s="33"/>
      <c r="M56" s="33"/>
      <c r="N56" s="33"/>
      <c r="O56" s="33"/>
      <c r="P56" s="33"/>
      <c r="Q56" s="33"/>
      <c r="R56" s="33"/>
      <c r="S56" s="33"/>
      <c r="T56" s="33"/>
      <c r="U56" s="33"/>
      <c r="V56" s="33"/>
      <c r="W56" s="33"/>
      <c r="X56" s="33"/>
      <c r="Y56" s="33"/>
      <c r="Z56" s="33"/>
      <c r="AA56" s="33"/>
      <c r="AB56" s="33"/>
      <c r="AE56">
        <f ca="1">IF(OR('Remediation Tracker'!E33="",AND('Remediation Tracker'!I33="Approved",'Remediation Tracker'!J33="Completed",ISNUMBER('Remediation Tracker'!L33),'Remediation Tracker'!M33&lt;&gt;"",'Remediation Tracker'!N33="Validated")),0,IFERROR(INDEX('Risk Register'!$M$7:$M$106,MATCH('Remediation Tracker'!F33,'Risk Register'!$E$7:$E$106,0)),0)*10000+IF(AND(ISNUMBER('Remediation Tracker'!K33),'Remediation Tracker'!K33&lt;TODAY(),'Remediation Tracker'!J33&lt;&gt;"Completed"),1000,0)+107-ROW('Remediation Tracker'!E33))</f>
        <v>0</v>
      </c>
    </row>
    <row r="57" spans="1:31" ht="24.95" customHeight="1">
      <c r="A57" s="29"/>
      <c r="B57" s="29"/>
      <c r="C57" s="29"/>
      <c r="D57" s="29"/>
      <c r="E57" s="9"/>
      <c r="F57" s="35" t="str">
        <f>IF(AND(COUNTA('Risk Register'!$E$7:$E$106)&gt;0,COUNTIFS('Risk Register'!$E$7:$E$106,"&lt;&gt;",'Risk Register'!$Q$7:$Q$106,"Validated")=COUNTA('Risk Register'!$E$7:$E$106)),"Risk records are marked validated. Confirm supporting assessments and reviewer approvals before sign-off.","SIGN-OFF PENDING / Evidence, assessment and approval prerequisites remain open. A completed action is counted as verified only with approval, a completion date, closure evidence IDs and validated closure.")</f>
        <v>SIGN-OFF PENDING / Evidence, assessment and approval prerequisites remain open. A completed action is counted as verified only with approval, a completion date, closure evidence IDs and validated closure.</v>
      </c>
      <c r="G57" s="35"/>
      <c r="H57" s="35"/>
      <c r="I57" s="35"/>
      <c r="J57" s="35"/>
      <c r="K57" s="35"/>
      <c r="L57" s="35"/>
      <c r="M57" s="35"/>
      <c r="N57" s="35"/>
      <c r="O57" s="35"/>
      <c r="P57" s="35"/>
      <c r="Q57" s="35"/>
      <c r="R57" s="35"/>
      <c r="S57" s="35"/>
      <c r="T57" s="35"/>
      <c r="U57" s="35"/>
      <c r="V57" s="35"/>
      <c r="W57" s="35"/>
      <c r="X57" s="35"/>
      <c r="Y57" s="35"/>
      <c r="Z57" s="35"/>
      <c r="AA57" s="35"/>
      <c r="AB57" s="35"/>
      <c r="AE57">
        <f ca="1">IF(OR('Remediation Tracker'!E34="",AND('Remediation Tracker'!I34="Approved",'Remediation Tracker'!J34="Completed",ISNUMBER('Remediation Tracker'!L34),'Remediation Tracker'!M34&lt;&gt;"",'Remediation Tracker'!N34="Validated")),0,IFERROR(INDEX('Risk Register'!$M$7:$M$106,MATCH('Remediation Tracker'!F34,'Risk Register'!$E$7:$E$106,0)),0)*10000+IF(AND(ISNUMBER('Remediation Tracker'!K34),'Remediation Tracker'!K34&lt;TODAY(),'Remediation Tracker'!J34&lt;&gt;"Completed"),1000,0)+107-ROW('Remediation Tracker'!E34))</f>
        <v>0</v>
      </c>
    </row>
    <row r="58" spans="1:31" ht="24.95" customHeight="1">
      <c r="A58" s="29"/>
      <c r="B58" s="29"/>
      <c r="C58" s="29"/>
      <c r="D58" s="29"/>
      <c r="E58" s="9"/>
      <c r="F58" s="35"/>
      <c r="G58" s="35"/>
      <c r="H58" s="35"/>
      <c r="I58" s="35"/>
      <c r="J58" s="35"/>
      <c r="K58" s="35"/>
      <c r="L58" s="35"/>
      <c r="M58" s="35"/>
      <c r="N58" s="35"/>
      <c r="O58" s="35"/>
      <c r="P58" s="35"/>
      <c r="Q58" s="35"/>
      <c r="R58" s="35"/>
      <c r="S58" s="35"/>
      <c r="T58" s="35"/>
      <c r="U58" s="35"/>
      <c r="V58" s="35"/>
      <c r="W58" s="35"/>
      <c r="X58" s="35"/>
      <c r="Y58" s="35"/>
      <c r="Z58" s="35"/>
      <c r="AA58" s="35"/>
      <c r="AB58" s="35"/>
      <c r="AE58">
        <f ca="1">IF(OR('Remediation Tracker'!E35="",AND('Remediation Tracker'!I35="Approved",'Remediation Tracker'!J35="Completed",ISNUMBER('Remediation Tracker'!L35),'Remediation Tracker'!M35&lt;&gt;"",'Remediation Tracker'!N35="Validated")),0,IFERROR(INDEX('Risk Register'!$M$7:$M$106,MATCH('Remediation Tracker'!F35,'Risk Register'!$E$7:$E$106,0)),0)*10000+IF(AND(ISNUMBER('Remediation Tracker'!K35),'Remediation Tracker'!K35&lt;TODAY(),'Remediation Tracker'!J35&lt;&gt;"Completed"),1000,0)+107-ROW('Remediation Tracker'!E35))</f>
        <v>0</v>
      </c>
    </row>
    <row r="59" spans="1:31" ht="24.95" customHeight="1">
      <c r="A59" s="29"/>
      <c r="B59" s="29"/>
      <c r="C59" s="29"/>
      <c r="D59" s="29"/>
      <c r="E59" s="9"/>
      <c r="F59" s="36" t="str">
        <f>"TRACEABILITY ALERT / "&amp;COUNTIFS('Risk Register'!$E$7:$E$106,"&lt;&gt;",'Risk Register'!$S$7:$S$106,"=")&amp;" risk records lack evidence IDs. Approval must precede scheduling and implementation."</f>
        <v>TRACEABILITY ALERT / 3 risk records lack evidence IDs. Approval must precede scheduling and implementation.</v>
      </c>
      <c r="G59" s="36"/>
      <c r="H59" s="36"/>
      <c r="I59" s="36"/>
      <c r="J59" s="36"/>
      <c r="K59" s="36"/>
      <c r="L59" s="36"/>
      <c r="M59" s="36"/>
      <c r="N59" s="36"/>
      <c r="O59" s="36"/>
      <c r="P59" s="36"/>
      <c r="Q59" s="36"/>
      <c r="R59" s="36"/>
      <c r="S59" s="36"/>
      <c r="T59" s="36"/>
      <c r="U59" s="36"/>
      <c r="V59" s="36"/>
      <c r="W59" s="36"/>
      <c r="X59" s="36"/>
      <c r="Y59" s="36"/>
      <c r="Z59" s="36"/>
      <c r="AA59" s="36"/>
      <c r="AB59" s="36"/>
      <c r="AE59">
        <f ca="1">IF(OR('Remediation Tracker'!E36="",AND('Remediation Tracker'!I36="Approved",'Remediation Tracker'!J36="Completed",ISNUMBER('Remediation Tracker'!L36),'Remediation Tracker'!M36&lt;&gt;"",'Remediation Tracker'!N36="Validated")),0,IFERROR(INDEX('Risk Register'!$M$7:$M$106,MATCH('Remediation Tracker'!F36,'Risk Register'!$E$7:$E$106,0)),0)*10000+IF(AND(ISNUMBER('Remediation Tracker'!K36),'Remediation Tracker'!K36&lt;TODAY(),'Remediation Tracker'!J36&lt;&gt;"Completed"),1000,0)+107-ROW('Remediation Tracker'!E36))</f>
        <v>0</v>
      </c>
    </row>
    <row r="60" spans="1:31" ht="24.95" customHeight="1">
      <c r="A60" s="29"/>
      <c r="B60" s="29"/>
      <c r="C60" s="29"/>
      <c r="D60" s="29"/>
      <c r="E60" s="9"/>
      <c r="F60" s="32" t="s">
        <v>178</v>
      </c>
      <c r="G60" s="32" t="s">
        <v>178</v>
      </c>
      <c r="H60" s="32" t="s">
        <v>178</v>
      </c>
      <c r="I60" s="32" t="s">
        <v>178</v>
      </c>
      <c r="J60" s="32" t="s">
        <v>178</v>
      </c>
      <c r="K60" s="32" t="s">
        <v>178</v>
      </c>
      <c r="L60" s="32" t="s">
        <v>178</v>
      </c>
      <c r="M60" s="32" t="s">
        <v>178</v>
      </c>
      <c r="N60" s="32" t="s">
        <v>178</v>
      </c>
      <c r="O60" s="32" t="s">
        <v>178</v>
      </c>
      <c r="P60" s="32" t="s">
        <v>178</v>
      </c>
      <c r="Q60" s="32" t="s">
        <v>178</v>
      </c>
      <c r="R60" s="32" t="s">
        <v>178</v>
      </c>
      <c r="S60" s="32" t="s">
        <v>178</v>
      </c>
      <c r="T60" s="32" t="s">
        <v>178</v>
      </c>
      <c r="U60" s="32" t="s">
        <v>178</v>
      </c>
      <c r="V60" s="32" t="s">
        <v>178</v>
      </c>
      <c r="W60" s="32" t="s">
        <v>178</v>
      </c>
      <c r="X60" s="32" t="s">
        <v>178</v>
      </c>
      <c r="Y60" s="32" t="s">
        <v>178</v>
      </c>
      <c r="Z60" s="32" t="s">
        <v>178</v>
      </c>
      <c r="AA60" s="32" t="s">
        <v>178</v>
      </c>
      <c r="AB60" s="32" t="s">
        <v>178</v>
      </c>
      <c r="AE60">
        <f ca="1">IF(OR('Remediation Tracker'!E37="",AND('Remediation Tracker'!I37="Approved",'Remediation Tracker'!J37="Completed",ISNUMBER('Remediation Tracker'!L37),'Remediation Tracker'!M37&lt;&gt;"",'Remediation Tracker'!N37="Validated")),0,IFERROR(INDEX('Risk Register'!$M$7:$M$106,MATCH('Remediation Tracker'!F37,'Risk Register'!$E$7:$E$106,0)),0)*10000+IF(AND(ISNUMBER('Remediation Tracker'!K37),'Remediation Tracker'!K37&lt;TODAY(),'Remediation Tracker'!J37&lt;&gt;"Completed"),1000,0)+107-ROW('Remediation Tracker'!E37))</f>
        <v>0</v>
      </c>
    </row>
    <row r="61" spans="1:31" ht="24.95" customHeight="1">
      <c r="A61" s="29"/>
      <c r="B61" s="29"/>
      <c r="C61" s="29"/>
      <c r="D61" s="29"/>
      <c r="E61" s="9"/>
      <c r="F61" s="30" t="s">
        <v>29</v>
      </c>
      <c r="G61" s="30" t="s">
        <v>29</v>
      </c>
      <c r="H61" s="30" t="s">
        <v>30</v>
      </c>
      <c r="I61" s="30" t="s">
        <v>30</v>
      </c>
      <c r="J61" s="30" t="s">
        <v>30</v>
      </c>
      <c r="K61" s="30" t="s">
        <v>30</v>
      </c>
      <c r="L61" s="30" t="s">
        <v>30</v>
      </c>
      <c r="M61" s="30" t="s">
        <v>179</v>
      </c>
      <c r="N61" s="30" t="s">
        <v>179</v>
      </c>
      <c r="O61" s="30" t="s">
        <v>180</v>
      </c>
      <c r="P61" s="30" t="s">
        <v>180</v>
      </c>
      <c r="Q61" s="30" t="s">
        <v>180</v>
      </c>
      <c r="R61" s="30" t="s">
        <v>180</v>
      </c>
      <c r="S61" s="30" t="s">
        <v>181</v>
      </c>
      <c r="T61" s="30" t="s">
        <v>181</v>
      </c>
      <c r="U61" s="30" t="s">
        <v>181</v>
      </c>
      <c r="V61" s="30" t="s">
        <v>182</v>
      </c>
      <c r="W61" s="30" t="s">
        <v>182</v>
      </c>
      <c r="X61" s="30" t="s">
        <v>182</v>
      </c>
      <c r="Y61" s="30" t="s">
        <v>183</v>
      </c>
      <c r="Z61" s="30" t="s">
        <v>183</v>
      </c>
      <c r="AA61" s="30" t="s">
        <v>183</v>
      </c>
      <c r="AB61" s="30" t="s">
        <v>183</v>
      </c>
      <c r="AE61">
        <f ca="1">IF(OR('Remediation Tracker'!E38="",AND('Remediation Tracker'!I38="Approved",'Remediation Tracker'!J38="Completed",ISNUMBER('Remediation Tracker'!L38),'Remediation Tracker'!M38&lt;&gt;"",'Remediation Tracker'!N38="Validated")),0,IFERROR(INDEX('Risk Register'!$M$7:$M$106,MATCH('Remediation Tracker'!F38,'Risk Register'!$E$7:$E$106,0)),0)*10000+IF(AND(ISNUMBER('Remediation Tracker'!K38),'Remediation Tracker'!K38&lt;TODAY(),'Remediation Tracker'!J38&lt;&gt;"Completed"),1000,0)+107-ROW('Remediation Tracker'!E38))</f>
        <v>0</v>
      </c>
    </row>
    <row r="62" spans="1:31" ht="24.95" customHeight="1">
      <c r="A62" s="29"/>
      <c r="B62" s="29"/>
      <c r="C62" s="29"/>
      <c r="D62" s="29"/>
      <c r="E62" s="9"/>
      <c r="F62" s="27" t="str">
        <f>IF('Risk Register'!E7="","",'Risk Register'!E7)</f>
        <v>R-001</v>
      </c>
      <c r="G62" s="27"/>
      <c r="H62" s="27" t="str">
        <f>IF($F62="","",'Risk Register'!F7)</f>
        <v>Missing MFA</v>
      </c>
      <c r="I62" s="27"/>
      <c r="J62" s="27"/>
      <c r="K62" s="27"/>
      <c r="L62" s="27"/>
      <c r="M62" s="27" t="str">
        <f>IF($F62="","",'Risk Register'!M7&amp;" / "&amp;'Risk Register'!N7)</f>
        <v>12 / High</v>
      </c>
      <c r="N62" s="27"/>
      <c r="O62" s="27" t="str">
        <f>IF($F62="","",'Risk Register'!Q7)</f>
        <v>Pending validation</v>
      </c>
      <c r="P62" s="27"/>
      <c r="Q62" s="27"/>
      <c r="R62" s="27"/>
      <c r="S62" s="27" t="str">
        <f>IF($F62="","",COUNTIFS('Control Assessment'!$F$7:$F$106,$F62,'Control Assessment'!$J$7:$J$106,"&lt;&gt;",'Control Assessment'!$J$7:$J$106,"&lt;&gt;Not assessed",'Control Assessment'!$K$7:$K$106,"&lt;&gt;",'Control Assessment'!$K$7:$K$106,"&lt;&gt;Not assessed")&amp;" / "&amp;COUNTIFS('Control Assessment'!$F$7:$F$106,$F62,'Control Assessment'!$E$7:$E$106,"&lt;&gt;"))</f>
        <v>0 / 1</v>
      </c>
      <c r="T62" s="27"/>
      <c r="U62" s="27"/>
      <c r="V62" s="27" t="str">
        <f>IF($F62="","",COUNTIFS('Evidence Tracker'!$F$7:$F$106,$F62,'Evidence Tracker'!$N$7:$N$106,"Reviewed")&amp;" / "&amp;COUNTIFS('Evidence Tracker'!$F$7:$F$106,$F62,'Evidence Tracker'!$E$7:$E$106,"&lt;&gt;"))</f>
        <v>0 / 1</v>
      </c>
      <c r="W62" s="27"/>
      <c r="X62" s="27"/>
      <c r="Y62" s="27" t="str">
        <f>IF($F62="","",COUNTIFS('Remediation Tracker'!$F$7:$F$106,$F62,'Remediation Tracker'!$I$7:$I$106,"Approved",'Remediation Tracker'!$J$7:$J$106,"Completed",'Remediation Tracker'!$L$7:$L$106,"&gt;0",'Remediation Tracker'!$M$7:$M$106,"&lt;&gt;",'Remediation Tracker'!$N$7:$N$106,"Validated")&amp;" / "&amp;COUNTIFS('Remediation Tracker'!$F$7:$F$106,$F62,'Remediation Tracker'!$E$7:$E$106,"&lt;&gt;"))</f>
        <v>0 / 1</v>
      </c>
      <c r="Z62" s="27"/>
      <c r="AA62" s="27"/>
      <c r="AB62" s="27"/>
      <c r="AE62">
        <f ca="1">IF(OR('Remediation Tracker'!E39="",AND('Remediation Tracker'!I39="Approved",'Remediation Tracker'!J39="Completed",ISNUMBER('Remediation Tracker'!L39),'Remediation Tracker'!M39&lt;&gt;"",'Remediation Tracker'!N39="Validated")),0,IFERROR(INDEX('Risk Register'!$M$7:$M$106,MATCH('Remediation Tracker'!F39,'Risk Register'!$E$7:$E$106,0)),0)*10000+IF(AND(ISNUMBER('Remediation Tracker'!K39),'Remediation Tracker'!K39&lt;TODAY(),'Remediation Tracker'!J39&lt;&gt;"Completed"),1000,0)+107-ROW('Remediation Tracker'!E39))</f>
        <v>0</v>
      </c>
    </row>
    <row r="63" spans="1:31" ht="24.95" customHeight="1">
      <c r="A63" s="29"/>
      <c r="B63" s="29"/>
      <c r="C63" s="29"/>
      <c r="D63" s="29"/>
      <c r="E63" s="9"/>
      <c r="F63" s="30" t="str">
        <f>IF('Risk Register'!E8="","",'Risk Register'!E8)</f>
        <v>R-002</v>
      </c>
      <c r="G63" s="30"/>
      <c r="H63" s="30" t="str">
        <f>IF($F63="","",'Risk Register'!F8)</f>
        <v>Excessive Access Permissions</v>
      </c>
      <c r="I63" s="30"/>
      <c r="J63" s="30"/>
      <c r="K63" s="30"/>
      <c r="L63" s="30"/>
      <c r="M63" s="30" t="str">
        <f>IF($F63="","",'Risk Register'!M8&amp;" / "&amp;'Risk Register'!N8)</f>
        <v>12 / High</v>
      </c>
      <c r="N63" s="30"/>
      <c r="O63" s="30" t="str">
        <f>IF($F63="","",'Risk Register'!Q8)</f>
        <v>Pending validation</v>
      </c>
      <c r="P63" s="30"/>
      <c r="Q63" s="30"/>
      <c r="R63" s="30"/>
      <c r="S63" s="30" t="str">
        <f>IF($F63="","",COUNTIFS('Control Assessment'!$F$7:$F$106,$F63,'Control Assessment'!$J$7:$J$106,"&lt;&gt;",'Control Assessment'!$J$7:$J$106,"&lt;&gt;Not assessed",'Control Assessment'!$K$7:$K$106,"&lt;&gt;",'Control Assessment'!$K$7:$K$106,"&lt;&gt;Not assessed")&amp;" / "&amp;COUNTIFS('Control Assessment'!$F$7:$F$106,$F63,'Control Assessment'!$E$7:$E$106,"&lt;&gt;"))</f>
        <v>0 / 1</v>
      </c>
      <c r="T63" s="30"/>
      <c r="U63" s="30"/>
      <c r="V63" s="30" t="str">
        <f>IF($F63="","",COUNTIFS('Evidence Tracker'!$F$7:$F$106,$F63,'Evidence Tracker'!$N$7:$N$106,"Reviewed")&amp;" / "&amp;COUNTIFS('Evidence Tracker'!$F$7:$F$106,$F63,'Evidence Tracker'!$E$7:$E$106,"&lt;&gt;"))</f>
        <v>0 / 1</v>
      </c>
      <c r="W63" s="30"/>
      <c r="X63" s="30"/>
      <c r="Y63" s="30" t="str">
        <f>IF($F63="","",COUNTIFS('Remediation Tracker'!$F$7:$F$106,$F63,'Remediation Tracker'!$I$7:$I$106,"Approved",'Remediation Tracker'!$J$7:$J$106,"Completed",'Remediation Tracker'!$L$7:$L$106,"&gt;0",'Remediation Tracker'!$M$7:$M$106,"&lt;&gt;",'Remediation Tracker'!$N$7:$N$106,"Validated")&amp;" / "&amp;COUNTIFS('Remediation Tracker'!$F$7:$F$106,$F63,'Remediation Tracker'!$E$7:$E$106,"&lt;&gt;"))</f>
        <v>0 / 1</v>
      </c>
      <c r="Z63" s="30"/>
      <c r="AA63" s="30"/>
      <c r="AB63" s="30"/>
      <c r="AE63">
        <f ca="1">IF(OR('Remediation Tracker'!E40="",AND('Remediation Tracker'!I40="Approved",'Remediation Tracker'!J40="Completed",ISNUMBER('Remediation Tracker'!L40),'Remediation Tracker'!M40&lt;&gt;"",'Remediation Tracker'!N40="Validated")),0,IFERROR(INDEX('Risk Register'!$M$7:$M$106,MATCH('Remediation Tracker'!F40,'Risk Register'!$E$7:$E$106,0)),0)*10000+IF(AND(ISNUMBER('Remediation Tracker'!K40),'Remediation Tracker'!K40&lt;TODAY(),'Remediation Tracker'!J40&lt;&gt;"Completed"),1000,0)+107-ROW('Remediation Tracker'!E40))</f>
        <v>0</v>
      </c>
    </row>
    <row r="64" spans="1:31" ht="24.95" customHeight="1">
      <c r="A64" s="29"/>
      <c r="B64" s="29"/>
      <c r="C64" s="29"/>
      <c r="D64" s="29"/>
      <c r="E64" s="9"/>
      <c r="F64" s="27" t="str">
        <f>IF('Risk Register'!E9="","",'Risk Register'!E9)</f>
        <v>R-003</v>
      </c>
      <c r="G64" s="27"/>
      <c r="H64" s="27" t="str">
        <f>IF($F64="","",'Risk Register'!F9)</f>
        <v>Shared Administrator Accounts</v>
      </c>
      <c r="I64" s="27"/>
      <c r="J64" s="27"/>
      <c r="K64" s="27"/>
      <c r="L64" s="27"/>
      <c r="M64" s="27" t="str">
        <f>IF($F64="","",'Risk Register'!M9&amp;" / "&amp;'Risk Register'!N9)</f>
        <v>12 / High</v>
      </c>
      <c r="N64" s="27"/>
      <c r="O64" s="27" t="str">
        <f>IF($F64="","",'Risk Register'!Q9)</f>
        <v>Pending validation</v>
      </c>
      <c r="P64" s="27"/>
      <c r="Q64" s="27"/>
      <c r="R64" s="27"/>
      <c r="S64" s="27" t="str">
        <f>IF($F64="","",COUNTIFS('Control Assessment'!$F$7:$F$106,$F64,'Control Assessment'!$J$7:$J$106,"&lt;&gt;",'Control Assessment'!$J$7:$J$106,"&lt;&gt;Not assessed",'Control Assessment'!$K$7:$K$106,"&lt;&gt;",'Control Assessment'!$K$7:$K$106,"&lt;&gt;Not assessed")&amp;" / "&amp;COUNTIFS('Control Assessment'!$F$7:$F$106,$F64,'Control Assessment'!$E$7:$E$106,"&lt;&gt;"))</f>
        <v>0 / 1</v>
      </c>
      <c r="T64" s="27"/>
      <c r="U64" s="27"/>
      <c r="V64" s="27" t="str">
        <f>IF($F64="","",COUNTIFS('Evidence Tracker'!$F$7:$F$106,$F64,'Evidence Tracker'!$N$7:$N$106,"Reviewed")&amp;" / "&amp;COUNTIFS('Evidence Tracker'!$F$7:$F$106,$F64,'Evidence Tracker'!$E$7:$E$106,"&lt;&gt;"))</f>
        <v>0 / 1</v>
      </c>
      <c r="W64" s="27"/>
      <c r="X64" s="27"/>
      <c r="Y64" s="27" t="str">
        <f>IF($F64="","",COUNTIFS('Remediation Tracker'!$F$7:$F$106,$F64,'Remediation Tracker'!$I$7:$I$106,"Approved",'Remediation Tracker'!$J$7:$J$106,"Completed",'Remediation Tracker'!$L$7:$L$106,"&gt;0",'Remediation Tracker'!$M$7:$M$106,"&lt;&gt;",'Remediation Tracker'!$N$7:$N$106,"Validated")&amp;" / "&amp;COUNTIFS('Remediation Tracker'!$F$7:$F$106,$F64,'Remediation Tracker'!$E$7:$E$106,"&lt;&gt;"))</f>
        <v>0 / 1</v>
      </c>
      <c r="Z64" s="27"/>
      <c r="AA64" s="27"/>
      <c r="AB64" s="27"/>
      <c r="AE64">
        <f ca="1">IF(OR('Remediation Tracker'!E41="",AND('Remediation Tracker'!I41="Approved",'Remediation Tracker'!J41="Completed",ISNUMBER('Remediation Tracker'!L41),'Remediation Tracker'!M41&lt;&gt;"",'Remediation Tracker'!N41="Validated")),0,IFERROR(INDEX('Risk Register'!$M$7:$M$106,MATCH('Remediation Tracker'!F41,'Risk Register'!$E$7:$E$106,0)),0)*10000+IF(AND(ISNUMBER('Remediation Tracker'!K41),'Remediation Tracker'!K41&lt;TODAY(),'Remediation Tracker'!J41&lt;&gt;"Completed"),1000,0)+107-ROW('Remediation Tracker'!E41))</f>
        <v>0</v>
      </c>
    </row>
    <row r="65" spans="1:31" ht="24.95" customHeight="1">
      <c r="A65" s="29"/>
      <c r="B65" s="29"/>
      <c r="C65" s="29"/>
      <c r="D65" s="29"/>
      <c r="E65" s="9"/>
      <c r="F65" s="30" t="str">
        <f>IF('Risk Register'!E10="","",'Risk Register'!E10)</f>
        <v/>
      </c>
      <c r="G65" s="30"/>
      <c r="H65" s="30" t="str">
        <f>IF($F65="","",'Risk Register'!F10)</f>
        <v/>
      </c>
      <c r="I65" s="30"/>
      <c r="J65" s="30"/>
      <c r="K65" s="30"/>
      <c r="L65" s="30"/>
      <c r="M65" s="30" t="str">
        <f>IF($F65="","",'Risk Register'!M10&amp;" / "&amp;'Risk Register'!N10)</f>
        <v/>
      </c>
      <c r="N65" s="30"/>
      <c r="O65" s="30" t="str">
        <f>IF($F65="","",'Risk Register'!Q10)</f>
        <v/>
      </c>
      <c r="P65" s="30"/>
      <c r="Q65" s="30"/>
      <c r="R65" s="30"/>
      <c r="S65" s="30" t="str">
        <f>IF($F65="","",COUNTIFS('Control Assessment'!$F$7:$F$106,$F65,'Control Assessment'!$J$7:$J$106,"&lt;&gt;",'Control Assessment'!$J$7:$J$106,"&lt;&gt;Not assessed",'Control Assessment'!$K$7:$K$106,"&lt;&gt;",'Control Assessment'!$K$7:$K$106,"&lt;&gt;Not assessed")&amp;" / "&amp;COUNTIFS('Control Assessment'!$F$7:$F$106,$F65,'Control Assessment'!$E$7:$E$106,"&lt;&gt;"))</f>
        <v/>
      </c>
      <c r="T65" s="30"/>
      <c r="U65" s="30"/>
      <c r="V65" s="30" t="str">
        <f>IF($F65="","",COUNTIFS('Evidence Tracker'!$F$7:$F$106,$F65,'Evidence Tracker'!$N$7:$N$106,"Reviewed")&amp;" / "&amp;COUNTIFS('Evidence Tracker'!$F$7:$F$106,$F65,'Evidence Tracker'!$E$7:$E$106,"&lt;&gt;"))</f>
        <v/>
      </c>
      <c r="W65" s="30"/>
      <c r="X65" s="30"/>
      <c r="Y65" s="30" t="str">
        <f>IF($F65="","",COUNTIFS('Remediation Tracker'!$F$7:$F$106,$F65,'Remediation Tracker'!$I$7:$I$106,"Approved",'Remediation Tracker'!$J$7:$J$106,"Completed",'Remediation Tracker'!$L$7:$L$106,"&gt;0",'Remediation Tracker'!$M$7:$M$106,"&lt;&gt;",'Remediation Tracker'!$N$7:$N$106,"Validated")&amp;" / "&amp;COUNTIFS('Remediation Tracker'!$F$7:$F$106,$F65,'Remediation Tracker'!$E$7:$E$106,"&lt;&gt;"))</f>
        <v/>
      </c>
      <c r="Z65" s="30"/>
      <c r="AA65" s="30"/>
      <c r="AB65" s="30"/>
      <c r="AE65">
        <f ca="1">IF(OR('Remediation Tracker'!E42="",AND('Remediation Tracker'!I42="Approved",'Remediation Tracker'!J42="Completed",ISNUMBER('Remediation Tracker'!L42),'Remediation Tracker'!M42&lt;&gt;"",'Remediation Tracker'!N42="Validated")),0,IFERROR(INDEX('Risk Register'!$M$7:$M$106,MATCH('Remediation Tracker'!F42,'Risk Register'!$E$7:$E$106,0)),0)*10000+IF(AND(ISNUMBER('Remediation Tracker'!K42),'Remediation Tracker'!K42&lt;TODAY(),'Remediation Tracker'!J42&lt;&gt;"Completed"),1000,0)+107-ROW('Remediation Tracker'!E42))</f>
        <v>0</v>
      </c>
    </row>
    <row r="66" spans="1:31" ht="24.95" customHeight="1">
      <c r="A66" s="29"/>
      <c r="B66" s="29"/>
      <c r="C66" s="29"/>
      <c r="D66" s="29"/>
      <c r="E66" s="9"/>
      <c r="F66" s="27" t="str">
        <f>IF('Risk Register'!E11="","",'Risk Register'!E11)</f>
        <v/>
      </c>
      <c r="G66" s="27"/>
      <c r="H66" s="27" t="str">
        <f>IF($F66="","",'Risk Register'!F11)</f>
        <v/>
      </c>
      <c r="I66" s="27"/>
      <c r="J66" s="27"/>
      <c r="K66" s="27"/>
      <c r="L66" s="27"/>
      <c r="M66" s="27" t="str">
        <f>IF($F66="","",'Risk Register'!M11&amp;" / "&amp;'Risk Register'!N11)</f>
        <v/>
      </c>
      <c r="N66" s="27"/>
      <c r="O66" s="27" t="str">
        <f>IF($F66="","",'Risk Register'!Q11)</f>
        <v/>
      </c>
      <c r="P66" s="27"/>
      <c r="Q66" s="27"/>
      <c r="R66" s="27"/>
      <c r="S66" s="27" t="str">
        <f>IF($F66="","",COUNTIFS('Control Assessment'!$F$7:$F$106,$F66,'Control Assessment'!$J$7:$J$106,"&lt;&gt;",'Control Assessment'!$J$7:$J$106,"&lt;&gt;Not assessed",'Control Assessment'!$K$7:$K$106,"&lt;&gt;",'Control Assessment'!$K$7:$K$106,"&lt;&gt;Not assessed")&amp;" / "&amp;COUNTIFS('Control Assessment'!$F$7:$F$106,$F66,'Control Assessment'!$E$7:$E$106,"&lt;&gt;"))</f>
        <v/>
      </c>
      <c r="T66" s="27"/>
      <c r="U66" s="27"/>
      <c r="V66" s="27" t="str">
        <f>IF($F66="","",COUNTIFS('Evidence Tracker'!$F$7:$F$106,$F66,'Evidence Tracker'!$N$7:$N$106,"Reviewed")&amp;" / "&amp;COUNTIFS('Evidence Tracker'!$F$7:$F$106,$F66,'Evidence Tracker'!$E$7:$E$106,"&lt;&gt;"))</f>
        <v/>
      </c>
      <c r="W66" s="27"/>
      <c r="X66" s="27"/>
      <c r="Y66" s="27" t="str">
        <f>IF($F66="","",COUNTIFS('Remediation Tracker'!$F$7:$F$106,$F66,'Remediation Tracker'!$I$7:$I$106,"Approved",'Remediation Tracker'!$J$7:$J$106,"Completed",'Remediation Tracker'!$L$7:$L$106,"&gt;0",'Remediation Tracker'!$M$7:$M$106,"&lt;&gt;",'Remediation Tracker'!$N$7:$N$106,"Validated")&amp;" / "&amp;COUNTIFS('Remediation Tracker'!$F$7:$F$106,$F66,'Remediation Tracker'!$E$7:$E$106,"&lt;&gt;"))</f>
        <v/>
      </c>
      <c r="Z66" s="27"/>
      <c r="AA66" s="27"/>
      <c r="AB66" s="27"/>
      <c r="AE66">
        <f ca="1">IF(OR('Remediation Tracker'!E43="",AND('Remediation Tracker'!I43="Approved",'Remediation Tracker'!J43="Completed",ISNUMBER('Remediation Tracker'!L43),'Remediation Tracker'!M43&lt;&gt;"",'Remediation Tracker'!N43="Validated")),0,IFERROR(INDEX('Risk Register'!$M$7:$M$106,MATCH('Remediation Tracker'!F43,'Risk Register'!$E$7:$E$106,0)),0)*10000+IF(AND(ISNUMBER('Remediation Tracker'!K43),'Remediation Tracker'!K43&lt;TODAY(),'Remediation Tracker'!J43&lt;&gt;"Completed"),1000,0)+107-ROW('Remediation Tracker'!E43))</f>
        <v>0</v>
      </c>
    </row>
    <row r="67" spans="1:31" ht="24.95" customHeight="1">
      <c r="A67" s="29"/>
      <c r="B67" s="29"/>
      <c r="C67" s="29"/>
      <c r="D67" s="29"/>
      <c r="E67" s="9"/>
      <c r="F67" s="30" t="str">
        <f>IF('Risk Register'!E12="","",'Risk Register'!E12)</f>
        <v/>
      </c>
      <c r="G67" s="30"/>
      <c r="H67" s="30" t="str">
        <f>IF($F67="","",'Risk Register'!F12)</f>
        <v/>
      </c>
      <c r="I67" s="30"/>
      <c r="J67" s="30"/>
      <c r="K67" s="30"/>
      <c r="L67" s="30"/>
      <c r="M67" s="30" t="str">
        <f>IF($F67="","",'Risk Register'!M12&amp;" / "&amp;'Risk Register'!N12)</f>
        <v/>
      </c>
      <c r="N67" s="30"/>
      <c r="O67" s="30" t="str">
        <f>IF($F67="","",'Risk Register'!Q12)</f>
        <v/>
      </c>
      <c r="P67" s="30"/>
      <c r="Q67" s="30"/>
      <c r="R67" s="30"/>
      <c r="S67" s="30" t="str">
        <f>IF($F67="","",COUNTIFS('Control Assessment'!$F$7:$F$106,$F67,'Control Assessment'!$J$7:$J$106,"&lt;&gt;",'Control Assessment'!$J$7:$J$106,"&lt;&gt;Not assessed",'Control Assessment'!$K$7:$K$106,"&lt;&gt;",'Control Assessment'!$K$7:$K$106,"&lt;&gt;Not assessed")&amp;" / "&amp;COUNTIFS('Control Assessment'!$F$7:$F$106,$F67,'Control Assessment'!$E$7:$E$106,"&lt;&gt;"))</f>
        <v/>
      </c>
      <c r="T67" s="30"/>
      <c r="U67" s="30"/>
      <c r="V67" s="30" t="str">
        <f>IF($F67="","",COUNTIFS('Evidence Tracker'!$F$7:$F$106,$F67,'Evidence Tracker'!$N$7:$N$106,"Reviewed")&amp;" / "&amp;COUNTIFS('Evidence Tracker'!$F$7:$F$106,$F67,'Evidence Tracker'!$E$7:$E$106,"&lt;&gt;"))</f>
        <v/>
      </c>
      <c r="W67" s="30"/>
      <c r="X67" s="30"/>
      <c r="Y67" s="30" t="str">
        <f>IF($F67="","",COUNTIFS('Remediation Tracker'!$F$7:$F$106,$F67,'Remediation Tracker'!$I$7:$I$106,"Approved",'Remediation Tracker'!$J$7:$J$106,"Completed",'Remediation Tracker'!$L$7:$L$106,"&gt;0",'Remediation Tracker'!$M$7:$M$106,"&lt;&gt;",'Remediation Tracker'!$N$7:$N$106,"Validated")&amp;" / "&amp;COUNTIFS('Remediation Tracker'!$F$7:$F$106,$F67,'Remediation Tracker'!$E$7:$E$106,"&lt;&gt;"))</f>
        <v/>
      </c>
      <c r="Z67" s="30"/>
      <c r="AA67" s="30"/>
      <c r="AB67" s="30"/>
      <c r="AE67">
        <f ca="1">IF(OR('Remediation Tracker'!E44="",AND('Remediation Tracker'!I44="Approved",'Remediation Tracker'!J44="Completed",ISNUMBER('Remediation Tracker'!L44),'Remediation Tracker'!M44&lt;&gt;"",'Remediation Tracker'!N44="Validated")),0,IFERROR(INDEX('Risk Register'!$M$7:$M$106,MATCH('Remediation Tracker'!F44,'Risk Register'!$E$7:$E$106,0)),0)*10000+IF(AND(ISNUMBER('Remediation Tracker'!K44),'Remediation Tracker'!K44&lt;TODAY(),'Remediation Tracker'!J44&lt;&gt;"Completed"),1000,0)+107-ROW('Remediation Tracker'!E44))</f>
        <v>0</v>
      </c>
    </row>
    <row r="68" spans="1:31" ht="24.95" customHeight="1">
      <c r="A68" s="29"/>
      <c r="B68" s="29"/>
      <c r="C68" s="29"/>
      <c r="D68" s="29"/>
      <c r="E68" s="9"/>
      <c r="F68" s="27" t="str">
        <f>IF('Risk Register'!E13="","",'Risk Register'!E13)</f>
        <v/>
      </c>
      <c r="G68" s="27"/>
      <c r="H68" s="27" t="str">
        <f>IF($F68="","",'Risk Register'!F13)</f>
        <v/>
      </c>
      <c r="I68" s="27"/>
      <c r="J68" s="27"/>
      <c r="K68" s="27"/>
      <c r="L68" s="27"/>
      <c r="M68" s="27" t="str">
        <f>IF($F68="","",'Risk Register'!M13&amp;" / "&amp;'Risk Register'!N13)</f>
        <v/>
      </c>
      <c r="N68" s="27"/>
      <c r="O68" s="27" t="str">
        <f>IF($F68="","",'Risk Register'!Q13)</f>
        <v/>
      </c>
      <c r="P68" s="27"/>
      <c r="Q68" s="27"/>
      <c r="R68" s="27"/>
      <c r="S68" s="27" t="str">
        <f>IF($F68="","",COUNTIFS('Control Assessment'!$F$7:$F$106,$F68,'Control Assessment'!$J$7:$J$106,"&lt;&gt;",'Control Assessment'!$J$7:$J$106,"&lt;&gt;Not assessed",'Control Assessment'!$K$7:$K$106,"&lt;&gt;",'Control Assessment'!$K$7:$K$106,"&lt;&gt;Not assessed")&amp;" / "&amp;COUNTIFS('Control Assessment'!$F$7:$F$106,$F68,'Control Assessment'!$E$7:$E$106,"&lt;&gt;"))</f>
        <v/>
      </c>
      <c r="T68" s="27"/>
      <c r="U68" s="27"/>
      <c r="V68" s="27" t="str">
        <f>IF($F68="","",COUNTIFS('Evidence Tracker'!$F$7:$F$106,$F68,'Evidence Tracker'!$N$7:$N$106,"Reviewed")&amp;" / "&amp;COUNTIFS('Evidence Tracker'!$F$7:$F$106,$F68,'Evidence Tracker'!$E$7:$E$106,"&lt;&gt;"))</f>
        <v/>
      </c>
      <c r="W68" s="27"/>
      <c r="X68" s="27"/>
      <c r="Y68" s="27" t="str">
        <f>IF($F68="","",COUNTIFS('Remediation Tracker'!$F$7:$F$106,$F68,'Remediation Tracker'!$I$7:$I$106,"Approved",'Remediation Tracker'!$J$7:$J$106,"Completed",'Remediation Tracker'!$L$7:$L$106,"&gt;0",'Remediation Tracker'!$M$7:$M$106,"&lt;&gt;",'Remediation Tracker'!$N$7:$N$106,"Validated")&amp;" / "&amp;COUNTIFS('Remediation Tracker'!$F$7:$F$106,$F68,'Remediation Tracker'!$E$7:$E$106,"&lt;&gt;"))</f>
        <v/>
      </c>
      <c r="Z68" s="27"/>
      <c r="AA68" s="27"/>
      <c r="AB68" s="27"/>
      <c r="AE68">
        <f ca="1">IF(OR('Remediation Tracker'!E45="",AND('Remediation Tracker'!I45="Approved",'Remediation Tracker'!J45="Completed",ISNUMBER('Remediation Tracker'!L45),'Remediation Tracker'!M45&lt;&gt;"",'Remediation Tracker'!N45="Validated")),0,IFERROR(INDEX('Risk Register'!$M$7:$M$106,MATCH('Remediation Tracker'!F45,'Risk Register'!$E$7:$E$106,0)),0)*10000+IF(AND(ISNUMBER('Remediation Tracker'!K45),'Remediation Tracker'!K45&lt;TODAY(),'Remediation Tracker'!J45&lt;&gt;"Completed"),1000,0)+107-ROW('Remediation Tracker'!E45))</f>
        <v>0</v>
      </c>
    </row>
    <row r="69" spans="1:31" ht="24.95" customHeight="1">
      <c r="A69" s="29"/>
      <c r="B69" s="29"/>
      <c r="C69" s="29"/>
      <c r="D69" s="29"/>
      <c r="E69" s="9"/>
      <c r="F69" s="30" t="str">
        <f>IF('Risk Register'!E14="","",'Risk Register'!E14)</f>
        <v/>
      </c>
      <c r="G69" s="30"/>
      <c r="H69" s="30" t="str">
        <f>IF($F69="","",'Risk Register'!F14)</f>
        <v/>
      </c>
      <c r="I69" s="30"/>
      <c r="J69" s="30"/>
      <c r="K69" s="30"/>
      <c r="L69" s="30"/>
      <c r="M69" s="30" t="str">
        <f>IF($F69="","",'Risk Register'!M14&amp;" / "&amp;'Risk Register'!N14)</f>
        <v/>
      </c>
      <c r="N69" s="30"/>
      <c r="O69" s="30" t="str">
        <f>IF($F69="","",'Risk Register'!Q14)</f>
        <v/>
      </c>
      <c r="P69" s="30"/>
      <c r="Q69" s="30"/>
      <c r="R69" s="30"/>
      <c r="S69" s="30" t="str">
        <f>IF($F69="","",COUNTIFS('Control Assessment'!$F$7:$F$106,$F69,'Control Assessment'!$J$7:$J$106,"&lt;&gt;",'Control Assessment'!$J$7:$J$106,"&lt;&gt;Not assessed",'Control Assessment'!$K$7:$K$106,"&lt;&gt;",'Control Assessment'!$K$7:$K$106,"&lt;&gt;Not assessed")&amp;" / "&amp;COUNTIFS('Control Assessment'!$F$7:$F$106,$F69,'Control Assessment'!$E$7:$E$106,"&lt;&gt;"))</f>
        <v/>
      </c>
      <c r="T69" s="30"/>
      <c r="U69" s="30"/>
      <c r="V69" s="30" t="str">
        <f>IF($F69="","",COUNTIFS('Evidence Tracker'!$F$7:$F$106,$F69,'Evidence Tracker'!$N$7:$N$106,"Reviewed")&amp;" / "&amp;COUNTIFS('Evidence Tracker'!$F$7:$F$106,$F69,'Evidence Tracker'!$E$7:$E$106,"&lt;&gt;"))</f>
        <v/>
      </c>
      <c r="W69" s="30"/>
      <c r="X69" s="30"/>
      <c r="Y69" s="30" t="str">
        <f>IF($F69="","",COUNTIFS('Remediation Tracker'!$F$7:$F$106,$F69,'Remediation Tracker'!$I$7:$I$106,"Approved",'Remediation Tracker'!$J$7:$J$106,"Completed",'Remediation Tracker'!$L$7:$L$106,"&gt;0",'Remediation Tracker'!$M$7:$M$106,"&lt;&gt;",'Remediation Tracker'!$N$7:$N$106,"Validated")&amp;" / "&amp;COUNTIFS('Remediation Tracker'!$F$7:$F$106,$F69,'Remediation Tracker'!$E$7:$E$106,"&lt;&gt;"))</f>
        <v/>
      </c>
      <c r="Z69" s="30"/>
      <c r="AA69" s="30"/>
      <c r="AB69" s="30"/>
      <c r="AE69">
        <f ca="1">IF(OR('Remediation Tracker'!E46="",AND('Remediation Tracker'!I46="Approved",'Remediation Tracker'!J46="Completed",ISNUMBER('Remediation Tracker'!L46),'Remediation Tracker'!M46&lt;&gt;"",'Remediation Tracker'!N46="Validated")),0,IFERROR(INDEX('Risk Register'!$M$7:$M$106,MATCH('Remediation Tracker'!F46,'Risk Register'!$E$7:$E$106,0)),0)*10000+IF(AND(ISNUMBER('Remediation Tracker'!K46),'Remediation Tracker'!K46&lt;TODAY(),'Remediation Tracker'!J46&lt;&gt;"Completed"),1000,0)+107-ROW('Remediation Tracker'!E46))</f>
        <v>0</v>
      </c>
    </row>
    <row r="70" spans="1:31" ht="24.95" customHeight="1">
      <c r="A70" s="29"/>
      <c r="B70" s="29"/>
      <c r="C70" s="29"/>
      <c r="D70" s="29"/>
      <c r="E70" s="9"/>
      <c r="F70" s="27" t="str">
        <f>IF('Risk Register'!E15="","",'Risk Register'!E15)</f>
        <v/>
      </c>
      <c r="G70" s="27"/>
      <c r="H70" s="27" t="str">
        <f>IF($F70="","",'Risk Register'!F15)</f>
        <v/>
      </c>
      <c r="I70" s="27"/>
      <c r="J70" s="27"/>
      <c r="K70" s="27"/>
      <c r="L70" s="27"/>
      <c r="M70" s="27" t="str">
        <f>IF($F70="","",'Risk Register'!M15&amp;" / "&amp;'Risk Register'!N15)</f>
        <v/>
      </c>
      <c r="N70" s="27"/>
      <c r="O70" s="27" t="str">
        <f>IF($F70="","",'Risk Register'!Q15)</f>
        <v/>
      </c>
      <c r="P70" s="27"/>
      <c r="Q70" s="27"/>
      <c r="R70" s="27"/>
      <c r="S70" s="27" t="str">
        <f>IF($F70="","",COUNTIFS('Control Assessment'!$F$7:$F$106,$F70,'Control Assessment'!$J$7:$J$106,"&lt;&gt;",'Control Assessment'!$J$7:$J$106,"&lt;&gt;Not assessed",'Control Assessment'!$K$7:$K$106,"&lt;&gt;",'Control Assessment'!$K$7:$K$106,"&lt;&gt;Not assessed")&amp;" / "&amp;COUNTIFS('Control Assessment'!$F$7:$F$106,$F70,'Control Assessment'!$E$7:$E$106,"&lt;&gt;"))</f>
        <v/>
      </c>
      <c r="T70" s="27"/>
      <c r="U70" s="27"/>
      <c r="V70" s="27" t="str">
        <f>IF($F70="","",COUNTIFS('Evidence Tracker'!$F$7:$F$106,$F70,'Evidence Tracker'!$N$7:$N$106,"Reviewed")&amp;" / "&amp;COUNTIFS('Evidence Tracker'!$F$7:$F$106,$F70,'Evidence Tracker'!$E$7:$E$106,"&lt;&gt;"))</f>
        <v/>
      </c>
      <c r="W70" s="27"/>
      <c r="X70" s="27"/>
      <c r="Y70" s="27" t="str">
        <f>IF($F70="","",COUNTIFS('Remediation Tracker'!$F$7:$F$106,$F70,'Remediation Tracker'!$I$7:$I$106,"Approved",'Remediation Tracker'!$J$7:$J$106,"Completed",'Remediation Tracker'!$L$7:$L$106,"&gt;0",'Remediation Tracker'!$M$7:$M$106,"&lt;&gt;",'Remediation Tracker'!$N$7:$N$106,"Validated")&amp;" / "&amp;COUNTIFS('Remediation Tracker'!$F$7:$F$106,$F70,'Remediation Tracker'!$E$7:$E$106,"&lt;&gt;"))</f>
        <v/>
      </c>
      <c r="Z70" s="27"/>
      <c r="AA70" s="27"/>
      <c r="AB70" s="27"/>
      <c r="AE70">
        <f ca="1">IF(OR('Remediation Tracker'!E47="",AND('Remediation Tracker'!I47="Approved",'Remediation Tracker'!J47="Completed",ISNUMBER('Remediation Tracker'!L47),'Remediation Tracker'!M47&lt;&gt;"",'Remediation Tracker'!N47="Validated")),0,IFERROR(INDEX('Risk Register'!$M$7:$M$106,MATCH('Remediation Tracker'!F47,'Risk Register'!$E$7:$E$106,0)),0)*10000+IF(AND(ISNUMBER('Remediation Tracker'!K47),'Remediation Tracker'!K47&lt;TODAY(),'Remediation Tracker'!J47&lt;&gt;"Completed"),1000,0)+107-ROW('Remediation Tracker'!E47))</f>
        <v>0</v>
      </c>
    </row>
    <row r="71" spans="1:31" ht="24.95" customHeight="1">
      <c r="A71" s="29"/>
      <c r="B71" s="29"/>
      <c r="C71" s="29"/>
      <c r="D71" s="29"/>
      <c r="E71" s="9"/>
      <c r="F71" s="30" t="str">
        <f>IF('Risk Register'!E16="","",'Risk Register'!E16)</f>
        <v/>
      </c>
      <c r="G71" s="30"/>
      <c r="H71" s="30" t="str">
        <f>IF($F71="","",'Risk Register'!F16)</f>
        <v/>
      </c>
      <c r="I71" s="30"/>
      <c r="J71" s="30"/>
      <c r="K71" s="30"/>
      <c r="L71" s="30"/>
      <c r="M71" s="30" t="str">
        <f>IF($F71="","",'Risk Register'!M16&amp;" / "&amp;'Risk Register'!N16)</f>
        <v/>
      </c>
      <c r="N71" s="30"/>
      <c r="O71" s="30" t="str">
        <f>IF($F71="","",'Risk Register'!Q16)</f>
        <v/>
      </c>
      <c r="P71" s="30"/>
      <c r="Q71" s="30"/>
      <c r="R71" s="30"/>
      <c r="S71" s="30" t="str">
        <f>IF($F71="","",COUNTIFS('Control Assessment'!$F$7:$F$106,$F71,'Control Assessment'!$J$7:$J$106,"&lt;&gt;",'Control Assessment'!$J$7:$J$106,"&lt;&gt;Not assessed",'Control Assessment'!$K$7:$K$106,"&lt;&gt;",'Control Assessment'!$K$7:$K$106,"&lt;&gt;Not assessed")&amp;" / "&amp;COUNTIFS('Control Assessment'!$F$7:$F$106,$F71,'Control Assessment'!$E$7:$E$106,"&lt;&gt;"))</f>
        <v/>
      </c>
      <c r="T71" s="30"/>
      <c r="U71" s="30"/>
      <c r="V71" s="30" t="str">
        <f>IF($F71="","",COUNTIFS('Evidence Tracker'!$F$7:$F$106,$F71,'Evidence Tracker'!$N$7:$N$106,"Reviewed")&amp;" / "&amp;COUNTIFS('Evidence Tracker'!$F$7:$F$106,$F71,'Evidence Tracker'!$E$7:$E$106,"&lt;&gt;"))</f>
        <v/>
      </c>
      <c r="W71" s="30"/>
      <c r="X71" s="30"/>
      <c r="Y71" s="30" t="str">
        <f>IF($F71="","",COUNTIFS('Remediation Tracker'!$F$7:$F$106,$F71,'Remediation Tracker'!$I$7:$I$106,"Approved",'Remediation Tracker'!$J$7:$J$106,"Completed",'Remediation Tracker'!$L$7:$L$106,"&gt;0",'Remediation Tracker'!$M$7:$M$106,"&lt;&gt;",'Remediation Tracker'!$N$7:$N$106,"Validated")&amp;" / "&amp;COUNTIFS('Remediation Tracker'!$F$7:$F$106,$F71,'Remediation Tracker'!$E$7:$E$106,"&lt;&gt;"))</f>
        <v/>
      </c>
      <c r="Z71" s="30"/>
      <c r="AA71" s="30"/>
      <c r="AB71" s="30"/>
      <c r="AE71">
        <f ca="1">IF(OR('Remediation Tracker'!E48="",AND('Remediation Tracker'!I48="Approved",'Remediation Tracker'!J48="Completed",ISNUMBER('Remediation Tracker'!L48),'Remediation Tracker'!M48&lt;&gt;"",'Remediation Tracker'!N48="Validated")),0,IFERROR(INDEX('Risk Register'!$M$7:$M$106,MATCH('Remediation Tracker'!F48,'Risk Register'!$E$7:$E$106,0)),0)*10000+IF(AND(ISNUMBER('Remediation Tracker'!K48),'Remediation Tracker'!K48&lt;TODAY(),'Remediation Tracker'!J48&lt;&gt;"Completed"),1000,0)+107-ROW('Remediation Tracker'!E48))</f>
        <v>0</v>
      </c>
    </row>
    <row r="72" spans="1:31" ht="24.95" customHeight="1">
      <c r="A72" s="29"/>
      <c r="B72" s="29"/>
      <c r="C72" s="29"/>
      <c r="D72" s="29"/>
      <c r="E72" s="9"/>
      <c r="F72" s="25"/>
      <c r="G72" s="25"/>
      <c r="H72" s="25"/>
      <c r="I72" s="25"/>
      <c r="J72" s="25"/>
      <c r="K72" s="25"/>
      <c r="L72" s="25"/>
      <c r="M72" s="25"/>
      <c r="N72" s="25"/>
      <c r="O72" s="25"/>
      <c r="P72" s="25"/>
      <c r="Q72" s="25"/>
      <c r="R72" s="25"/>
      <c r="S72" s="25"/>
      <c r="T72" s="25"/>
      <c r="U72" s="25"/>
      <c r="V72" s="25"/>
      <c r="W72" s="25"/>
      <c r="X72" s="25"/>
      <c r="Y72" s="25"/>
      <c r="Z72" s="25"/>
      <c r="AA72" s="25"/>
      <c r="AB72" s="25"/>
      <c r="AE72">
        <f ca="1">IF(OR('Remediation Tracker'!E49="",AND('Remediation Tracker'!I49="Approved",'Remediation Tracker'!J49="Completed",ISNUMBER('Remediation Tracker'!L49),'Remediation Tracker'!M49&lt;&gt;"",'Remediation Tracker'!N49="Validated")),0,IFERROR(INDEX('Risk Register'!$M$7:$M$106,MATCH('Remediation Tracker'!F49,'Risk Register'!$E$7:$E$106,0)),0)*10000+IF(AND(ISNUMBER('Remediation Tracker'!K49),'Remediation Tracker'!K49&lt;TODAY(),'Remediation Tracker'!J49&lt;&gt;"Completed"),1000,0)+107-ROW('Remediation Tracker'!E49))</f>
        <v>0</v>
      </c>
    </row>
    <row r="73" spans="1:31" ht="24.95" customHeight="1">
      <c r="A73" s="29"/>
      <c r="B73" s="29"/>
      <c r="C73" s="29"/>
      <c r="D73" s="29"/>
      <c r="E73" s="9"/>
      <c r="F73" s="32" t="s">
        <v>184</v>
      </c>
      <c r="G73" s="32" t="s">
        <v>184</v>
      </c>
      <c r="H73" s="32" t="s">
        <v>184</v>
      </c>
      <c r="I73" s="32" t="s">
        <v>184</v>
      </c>
      <c r="J73" s="32" t="s">
        <v>184</v>
      </c>
      <c r="K73" s="32" t="s">
        <v>184</v>
      </c>
      <c r="L73" s="32" t="s">
        <v>184</v>
      </c>
      <c r="M73" s="32" t="s">
        <v>184</v>
      </c>
      <c r="N73" s="32" t="s">
        <v>184</v>
      </c>
      <c r="O73" s="32" t="s">
        <v>184</v>
      </c>
      <c r="P73" s="32" t="s">
        <v>184</v>
      </c>
      <c r="Q73" s="25"/>
      <c r="R73" s="32" t="s">
        <v>185</v>
      </c>
      <c r="S73" s="32" t="s">
        <v>185</v>
      </c>
      <c r="T73" s="32" t="s">
        <v>185</v>
      </c>
      <c r="U73" s="32" t="s">
        <v>185</v>
      </c>
      <c r="V73" s="32" t="s">
        <v>185</v>
      </c>
      <c r="W73" s="32" t="s">
        <v>185</v>
      </c>
      <c r="X73" s="32" t="s">
        <v>185</v>
      </c>
      <c r="Y73" s="32" t="s">
        <v>185</v>
      </c>
      <c r="Z73" s="32" t="s">
        <v>185</v>
      </c>
      <c r="AA73" s="32" t="s">
        <v>185</v>
      </c>
      <c r="AB73" s="32" t="s">
        <v>185</v>
      </c>
      <c r="AE73">
        <f ca="1">IF(OR('Remediation Tracker'!E50="",AND('Remediation Tracker'!I50="Approved",'Remediation Tracker'!J50="Completed",ISNUMBER('Remediation Tracker'!L50),'Remediation Tracker'!M50&lt;&gt;"",'Remediation Tracker'!N50="Validated")),0,IFERROR(INDEX('Risk Register'!$M$7:$M$106,MATCH('Remediation Tracker'!F50,'Risk Register'!$E$7:$E$106,0)),0)*10000+IF(AND(ISNUMBER('Remediation Tracker'!K50),'Remediation Tracker'!K50&lt;TODAY(),'Remediation Tracker'!J50&lt;&gt;"Completed"),1000,0)+107-ROW('Remediation Tracker'!E50))</f>
        <v>0</v>
      </c>
    </row>
    <row r="74" spans="1:31" ht="24.95" customHeight="1">
      <c r="A74" s="29"/>
      <c r="B74" s="29"/>
      <c r="C74" s="29"/>
      <c r="D74" s="29"/>
      <c r="E74" s="9"/>
      <c r="F74" s="33" t="s">
        <v>105</v>
      </c>
      <c r="G74" s="33" t="s">
        <v>105</v>
      </c>
      <c r="H74" s="33" t="s">
        <v>105</v>
      </c>
      <c r="I74" s="33" t="s">
        <v>105</v>
      </c>
      <c r="J74" s="33" t="s">
        <v>105</v>
      </c>
      <c r="K74" s="33" t="s">
        <v>105</v>
      </c>
      <c r="L74" s="33" t="s">
        <v>105</v>
      </c>
      <c r="M74" s="33" t="s">
        <v>105</v>
      </c>
      <c r="N74" s="34">
        <f>COUNTIFS('Evidence Tracker'!$E$7:$E$106,"&lt;&gt;",'Evidence Tracker'!$N$7:$N$106,"Planned request")</f>
        <v>3</v>
      </c>
      <c r="O74" s="34"/>
      <c r="P74" s="34"/>
      <c r="Q74" s="25"/>
      <c r="R74" s="33" t="s">
        <v>59</v>
      </c>
      <c r="S74" s="33" t="s">
        <v>59</v>
      </c>
      <c r="T74" s="33" t="s">
        <v>59</v>
      </c>
      <c r="U74" s="33" t="s">
        <v>59</v>
      </c>
      <c r="V74" s="33" t="s">
        <v>59</v>
      </c>
      <c r="W74" s="33" t="s">
        <v>59</v>
      </c>
      <c r="X74" s="33" t="s">
        <v>59</v>
      </c>
      <c r="Y74" s="33" t="s">
        <v>59</v>
      </c>
      <c r="Z74" s="34">
        <f>COUNTIFS('Remediation Tracker'!$E$7:$E$106,"&lt;&gt;",'Remediation Tracker'!$J$7:$J$106,"Proposed")</f>
        <v>3</v>
      </c>
      <c r="AA74" s="34"/>
      <c r="AB74" s="34"/>
      <c r="AE74">
        <f ca="1">IF(OR('Remediation Tracker'!E51="",AND('Remediation Tracker'!I51="Approved",'Remediation Tracker'!J51="Completed",ISNUMBER('Remediation Tracker'!L51),'Remediation Tracker'!M51&lt;&gt;"",'Remediation Tracker'!N51="Validated")),0,IFERROR(INDEX('Risk Register'!$M$7:$M$106,MATCH('Remediation Tracker'!F51,'Risk Register'!$E$7:$E$106,0)),0)*10000+IF(AND(ISNUMBER('Remediation Tracker'!K51),'Remediation Tracker'!K51&lt;TODAY(),'Remediation Tracker'!J51&lt;&gt;"Completed"),1000,0)+107-ROW('Remediation Tracker'!E51))</f>
        <v>0</v>
      </c>
    </row>
    <row r="75" spans="1:31" ht="24.95" customHeight="1">
      <c r="A75" s="29"/>
      <c r="B75" s="29"/>
      <c r="C75" s="29"/>
      <c r="D75" s="29"/>
      <c r="E75" s="9"/>
      <c r="F75" s="33" t="s">
        <v>18</v>
      </c>
      <c r="G75" s="33" t="s">
        <v>18</v>
      </c>
      <c r="H75" s="33" t="s">
        <v>18</v>
      </c>
      <c r="I75" s="33" t="s">
        <v>18</v>
      </c>
      <c r="J75" s="33" t="s">
        <v>18</v>
      </c>
      <c r="K75" s="33" t="s">
        <v>18</v>
      </c>
      <c r="L75" s="33" t="s">
        <v>18</v>
      </c>
      <c r="M75" s="33" t="s">
        <v>18</v>
      </c>
      <c r="N75" s="34">
        <f>COUNTIFS('Evidence Tracker'!$E$7:$E$106,"&lt;&gt;",'Evidence Tracker'!$N$7:$N$106,"Requested")</f>
        <v>0</v>
      </c>
      <c r="O75" s="34"/>
      <c r="P75" s="34"/>
      <c r="Q75" s="25"/>
      <c r="R75" s="33" t="s">
        <v>186</v>
      </c>
      <c r="S75" s="33" t="s">
        <v>186</v>
      </c>
      <c r="T75" s="33" t="s">
        <v>186</v>
      </c>
      <c r="U75" s="33" t="s">
        <v>186</v>
      </c>
      <c r="V75" s="33" t="s">
        <v>186</v>
      </c>
      <c r="W75" s="33" t="s">
        <v>186</v>
      </c>
      <c r="X75" s="33" t="s">
        <v>186</v>
      </c>
      <c r="Y75" s="33" t="s">
        <v>186</v>
      </c>
      <c r="Z75" s="34">
        <f>COUNTIFS('Remediation Tracker'!$E$7:$E$106,"&lt;&gt;",'Remediation Tracker'!$J$7:$J$106,"Open")</f>
        <v>0</v>
      </c>
      <c r="AA75" s="34"/>
      <c r="AB75" s="34"/>
      <c r="AE75">
        <f ca="1">IF(OR('Remediation Tracker'!E52="",AND('Remediation Tracker'!I52="Approved",'Remediation Tracker'!J52="Completed",ISNUMBER('Remediation Tracker'!L52),'Remediation Tracker'!M52&lt;&gt;"",'Remediation Tracker'!N52="Validated")),0,IFERROR(INDEX('Risk Register'!$M$7:$M$106,MATCH('Remediation Tracker'!F52,'Risk Register'!$E$7:$E$106,0)),0)*10000+IF(AND(ISNUMBER('Remediation Tracker'!K52),'Remediation Tracker'!K52&lt;TODAY(),'Remediation Tracker'!J52&lt;&gt;"Completed"),1000,0)+107-ROW('Remediation Tracker'!E52))</f>
        <v>0</v>
      </c>
    </row>
    <row r="76" spans="1:31" ht="24.95" customHeight="1">
      <c r="A76" s="29"/>
      <c r="B76" s="29"/>
      <c r="C76" s="29"/>
      <c r="D76" s="29"/>
      <c r="E76" s="9"/>
      <c r="F76" s="33" t="s">
        <v>19</v>
      </c>
      <c r="G76" s="33" t="s">
        <v>19</v>
      </c>
      <c r="H76" s="33" t="s">
        <v>19</v>
      </c>
      <c r="I76" s="33" t="s">
        <v>19</v>
      </c>
      <c r="J76" s="33" t="s">
        <v>19</v>
      </c>
      <c r="K76" s="33" t="s">
        <v>19</v>
      </c>
      <c r="L76" s="33" t="s">
        <v>19</v>
      </c>
      <c r="M76" s="33" t="s">
        <v>19</v>
      </c>
      <c r="N76" s="34">
        <f>COUNTIFS('Evidence Tracker'!$E$7:$E$106,"&lt;&gt;",'Evidence Tracker'!$N$7:$N$106,"Received")</f>
        <v>0</v>
      </c>
      <c r="O76" s="34"/>
      <c r="P76" s="34"/>
      <c r="Q76" s="25"/>
      <c r="R76" s="33" t="s">
        <v>187</v>
      </c>
      <c r="S76" s="33" t="s">
        <v>187</v>
      </c>
      <c r="T76" s="33" t="s">
        <v>187</v>
      </c>
      <c r="U76" s="33" t="s">
        <v>187</v>
      </c>
      <c r="V76" s="33" t="s">
        <v>187</v>
      </c>
      <c r="W76" s="33" t="s">
        <v>187</v>
      </c>
      <c r="X76" s="33" t="s">
        <v>187</v>
      </c>
      <c r="Y76" s="33" t="s">
        <v>187</v>
      </c>
      <c r="Z76" s="34">
        <f>COUNTIFS('Remediation Tracker'!$E$7:$E$106,"&lt;&gt;",'Remediation Tracker'!$J$7:$J$106,"In progress")</f>
        <v>0</v>
      </c>
      <c r="AA76" s="34"/>
      <c r="AB76" s="34"/>
      <c r="AE76">
        <f ca="1">IF(OR('Remediation Tracker'!E53="",AND('Remediation Tracker'!I53="Approved",'Remediation Tracker'!J53="Completed",ISNUMBER('Remediation Tracker'!L53),'Remediation Tracker'!M53&lt;&gt;"",'Remediation Tracker'!N53="Validated")),0,IFERROR(INDEX('Risk Register'!$M$7:$M$106,MATCH('Remediation Tracker'!F53,'Risk Register'!$E$7:$E$106,0)),0)*10000+IF(AND(ISNUMBER('Remediation Tracker'!K53),'Remediation Tracker'!K53&lt;TODAY(),'Remediation Tracker'!J53&lt;&gt;"Completed"),1000,0)+107-ROW('Remediation Tracker'!E53))</f>
        <v>0</v>
      </c>
    </row>
    <row r="77" spans="1:31" ht="24.95" customHeight="1">
      <c r="A77" s="29"/>
      <c r="B77" s="29"/>
      <c r="C77" s="29"/>
      <c r="D77" s="29"/>
      <c r="E77" s="9"/>
      <c r="F77" s="33" t="s">
        <v>188</v>
      </c>
      <c r="G77" s="33" t="s">
        <v>188</v>
      </c>
      <c r="H77" s="33" t="s">
        <v>188</v>
      </c>
      <c r="I77" s="33" t="s">
        <v>188</v>
      </c>
      <c r="J77" s="33" t="s">
        <v>188</v>
      </c>
      <c r="K77" s="33" t="s">
        <v>188</v>
      </c>
      <c r="L77" s="33" t="s">
        <v>188</v>
      </c>
      <c r="M77" s="33" t="s">
        <v>188</v>
      </c>
      <c r="N77" s="34">
        <f>COUNTIFS('Evidence Tracker'!$E$7:$E$106,"&lt;&gt;",'Evidence Tracker'!$N$7:$N$106,"Under review")</f>
        <v>0</v>
      </c>
      <c r="O77" s="34"/>
      <c r="P77" s="34"/>
      <c r="Q77" s="25"/>
      <c r="R77" s="33" t="s">
        <v>189</v>
      </c>
      <c r="S77" s="33" t="s">
        <v>189</v>
      </c>
      <c r="T77" s="33" t="s">
        <v>189</v>
      </c>
      <c r="U77" s="33" t="s">
        <v>189</v>
      </c>
      <c r="V77" s="33" t="s">
        <v>189</v>
      </c>
      <c r="W77" s="33" t="s">
        <v>189</v>
      </c>
      <c r="X77" s="33" t="s">
        <v>189</v>
      </c>
      <c r="Y77" s="33" t="s">
        <v>189</v>
      </c>
      <c r="Z77" s="34">
        <f>COUNTIFS('Remediation Tracker'!$E$7:$E$106,"&lt;&gt;",'Remediation Tracker'!$J$7:$J$106,"Blocked")</f>
        <v>0</v>
      </c>
      <c r="AA77" s="34"/>
      <c r="AB77" s="34"/>
      <c r="AE77">
        <f ca="1">IF(OR('Remediation Tracker'!E54="",AND('Remediation Tracker'!I54="Approved",'Remediation Tracker'!J54="Completed",ISNUMBER('Remediation Tracker'!L54),'Remediation Tracker'!M54&lt;&gt;"",'Remediation Tracker'!N54="Validated")),0,IFERROR(INDEX('Risk Register'!$M$7:$M$106,MATCH('Remediation Tracker'!F54,'Risk Register'!$E$7:$E$106,0)),0)*10000+IF(AND(ISNUMBER('Remediation Tracker'!K54),'Remediation Tracker'!K54&lt;TODAY(),'Remediation Tracker'!J54&lt;&gt;"Completed"),1000,0)+107-ROW('Remediation Tracker'!E54))</f>
        <v>0</v>
      </c>
    </row>
    <row r="78" spans="1:31" ht="24.95" customHeight="1">
      <c r="A78" s="29"/>
      <c r="B78" s="29"/>
      <c r="C78" s="29"/>
      <c r="D78" s="29"/>
      <c r="E78" s="9"/>
      <c r="F78" s="33" t="s">
        <v>21</v>
      </c>
      <c r="G78" s="33" t="s">
        <v>21</v>
      </c>
      <c r="H78" s="33" t="s">
        <v>21</v>
      </c>
      <c r="I78" s="33" t="s">
        <v>21</v>
      </c>
      <c r="J78" s="33" t="s">
        <v>21</v>
      </c>
      <c r="K78" s="33" t="s">
        <v>21</v>
      </c>
      <c r="L78" s="33" t="s">
        <v>21</v>
      </c>
      <c r="M78" s="33" t="s">
        <v>21</v>
      </c>
      <c r="N78" s="34">
        <f>COUNTIFS('Evidence Tracker'!$E$7:$E$106,"&lt;&gt;",'Evidence Tracker'!$N$7:$N$106,"Reviewed")</f>
        <v>0</v>
      </c>
      <c r="O78" s="34"/>
      <c r="P78" s="34"/>
      <c r="Q78" s="25"/>
      <c r="R78" s="33" t="s">
        <v>190</v>
      </c>
      <c r="S78" s="33" t="s">
        <v>190</v>
      </c>
      <c r="T78" s="33" t="s">
        <v>190</v>
      </c>
      <c r="U78" s="33" t="s">
        <v>190</v>
      </c>
      <c r="V78" s="33" t="s">
        <v>190</v>
      </c>
      <c r="W78" s="33" t="s">
        <v>190</v>
      </c>
      <c r="X78" s="33" t="s">
        <v>190</v>
      </c>
      <c r="Y78" s="33" t="s">
        <v>190</v>
      </c>
      <c r="Z78" s="34">
        <f>COUNTIFS('Remediation Tracker'!$E$7:$E$106,"&lt;&gt;",'Remediation Tracker'!$J$7:$J$106,"Completed")</f>
        <v>0</v>
      </c>
      <c r="AA78" s="34"/>
      <c r="AB78" s="34"/>
      <c r="AE78">
        <f ca="1">IF(OR('Remediation Tracker'!E55="",AND('Remediation Tracker'!I55="Approved",'Remediation Tracker'!J55="Completed",ISNUMBER('Remediation Tracker'!L55),'Remediation Tracker'!M55&lt;&gt;"",'Remediation Tracker'!N55="Validated")),0,IFERROR(INDEX('Risk Register'!$M$7:$M$106,MATCH('Remediation Tracker'!F55,'Risk Register'!$E$7:$E$106,0)),0)*10000+IF(AND(ISNUMBER('Remediation Tracker'!K55),'Remediation Tracker'!K55&lt;TODAY(),'Remediation Tracker'!J55&lt;&gt;"Completed"),1000,0)+107-ROW('Remediation Tracker'!E55))</f>
        <v>0</v>
      </c>
    </row>
    <row r="79" spans="1:31" ht="24.95" customHeight="1">
      <c r="A79" s="29"/>
      <c r="B79" s="29"/>
      <c r="C79" s="29"/>
      <c r="D79" s="29"/>
      <c r="E79" s="9"/>
      <c r="F79" s="31" t="s">
        <v>191</v>
      </c>
      <c r="G79" s="31" t="s">
        <v>191</v>
      </c>
      <c r="H79" s="31" t="s">
        <v>191</v>
      </c>
      <c r="I79" s="31" t="s">
        <v>191</v>
      </c>
      <c r="J79" s="31" t="s">
        <v>191</v>
      </c>
      <c r="K79" s="31" t="s">
        <v>191</v>
      </c>
      <c r="L79" s="31" t="s">
        <v>191</v>
      </c>
      <c r="M79" s="31" t="s">
        <v>191</v>
      </c>
      <c r="N79" s="31" t="s">
        <v>191</v>
      </c>
      <c r="O79" s="31" t="s">
        <v>191</v>
      </c>
      <c r="P79" s="31" t="s">
        <v>191</v>
      </c>
      <c r="Q79" s="25"/>
      <c r="R79" s="31" t="s">
        <v>192</v>
      </c>
      <c r="S79" s="31" t="s">
        <v>192</v>
      </c>
      <c r="T79" s="31" t="s">
        <v>192</v>
      </c>
      <c r="U79" s="31" t="s">
        <v>192</v>
      </c>
      <c r="V79" s="31" t="s">
        <v>192</v>
      </c>
      <c r="W79" s="31" t="s">
        <v>192</v>
      </c>
      <c r="X79" s="31" t="s">
        <v>192</v>
      </c>
      <c r="Y79" s="31" t="s">
        <v>192</v>
      </c>
      <c r="Z79" s="31" t="s">
        <v>192</v>
      </c>
      <c r="AA79" s="31" t="s">
        <v>192</v>
      </c>
      <c r="AB79" s="31" t="s">
        <v>192</v>
      </c>
      <c r="AE79">
        <f ca="1">IF(OR('Remediation Tracker'!E56="",AND('Remediation Tracker'!I56="Approved",'Remediation Tracker'!J56="Completed",ISNUMBER('Remediation Tracker'!L56),'Remediation Tracker'!M56&lt;&gt;"",'Remediation Tracker'!N56="Validated")),0,IFERROR(INDEX('Risk Register'!$M$7:$M$106,MATCH('Remediation Tracker'!F56,'Risk Register'!$E$7:$E$106,0)),0)*10000+IF(AND(ISNUMBER('Remediation Tracker'!K56),'Remediation Tracker'!K56&lt;TODAY(),'Remediation Tracker'!J56&lt;&gt;"Completed"),1000,0)+107-ROW('Remediation Tracker'!E56))</f>
        <v>0</v>
      </c>
    </row>
    <row r="80" spans="1:31" ht="24.95" customHeight="1">
      <c r="A80" s="29"/>
      <c r="B80" s="29"/>
      <c r="C80" s="29"/>
      <c r="D80" s="29"/>
      <c r="E80" s="9"/>
      <c r="F80" s="31" t="s">
        <v>191</v>
      </c>
      <c r="G80" s="31" t="s">
        <v>191</v>
      </c>
      <c r="H80" s="31" t="s">
        <v>191</v>
      </c>
      <c r="I80" s="31" t="s">
        <v>191</v>
      </c>
      <c r="J80" s="31" t="s">
        <v>191</v>
      </c>
      <c r="K80" s="31" t="s">
        <v>191</v>
      </c>
      <c r="L80" s="31" t="s">
        <v>191</v>
      </c>
      <c r="M80" s="31" t="s">
        <v>191</v>
      </c>
      <c r="N80" s="31" t="s">
        <v>191</v>
      </c>
      <c r="O80" s="31" t="s">
        <v>191</v>
      </c>
      <c r="P80" s="31" t="s">
        <v>191</v>
      </c>
      <c r="Q80" s="25"/>
      <c r="R80" s="31" t="s">
        <v>192</v>
      </c>
      <c r="S80" s="31" t="s">
        <v>192</v>
      </c>
      <c r="T80" s="31" t="s">
        <v>192</v>
      </c>
      <c r="U80" s="31" t="s">
        <v>192</v>
      </c>
      <c r="V80" s="31" t="s">
        <v>192</v>
      </c>
      <c r="W80" s="31" t="s">
        <v>192</v>
      </c>
      <c r="X80" s="31" t="s">
        <v>192</v>
      </c>
      <c r="Y80" s="31" t="s">
        <v>192</v>
      </c>
      <c r="Z80" s="31" t="s">
        <v>192</v>
      </c>
      <c r="AA80" s="31" t="s">
        <v>192</v>
      </c>
      <c r="AB80" s="31" t="s">
        <v>192</v>
      </c>
      <c r="AE80">
        <f ca="1">IF(OR('Remediation Tracker'!E57="",AND('Remediation Tracker'!I57="Approved",'Remediation Tracker'!J57="Completed",ISNUMBER('Remediation Tracker'!L57),'Remediation Tracker'!M57&lt;&gt;"",'Remediation Tracker'!N57="Validated")),0,IFERROR(INDEX('Risk Register'!$M$7:$M$106,MATCH('Remediation Tracker'!F57,'Risk Register'!$E$7:$E$106,0)),0)*10000+IF(AND(ISNUMBER('Remediation Tracker'!K57),'Remediation Tracker'!K57&lt;TODAY(),'Remediation Tracker'!J57&lt;&gt;"Completed"),1000,0)+107-ROW('Remediation Tracker'!E57))</f>
        <v>0</v>
      </c>
    </row>
    <row r="81" spans="1:32" ht="24.95" customHeight="1">
      <c r="A81" s="29"/>
      <c r="B81" s="29"/>
      <c r="C81" s="29"/>
      <c r="D81" s="29"/>
      <c r="E81" s="9"/>
      <c r="F81" s="25"/>
      <c r="G81" s="25"/>
      <c r="H81" s="25"/>
      <c r="I81" s="25"/>
      <c r="J81" s="25"/>
      <c r="K81" s="25"/>
      <c r="L81" s="25"/>
      <c r="M81" s="25"/>
      <c r="N81" s="25"/>
      <c r="O81" s="25"/>
      <c r="P81" s="25"/>
      <c r="Q81" s="25"/>
      <c r="R81" s="28" t="str">
        <f>"Approved actions: "&amp;COUNTIFS('Remediation Tracker'!$E$7:$E$106,"&lt;&gt;",'Remediation Tracker'!$I$7:$I$106,"Approved")&amp;" / "&amp;COUNTA('Remediation Tracker'!$E$7:$E$106)&amp;" total actions"</f>
        <v>Approved actions: 0 / 3 total actions</v>
      </c>
      <c r="S81" s="28"/>
      <c r="T81" s="28"/>
      <c r="U81" s="28"/>
      <c r="V81" s="28"/>
      <c r="W81" s="28"/>
      <c r="X81" s="28"/>
      <c r="Y81" s="28"/>
      <c r="Z81" s="28"/>
      <c r="AA81" s="28"/>
      <c r="AB81" s="28"/>
      <c r="AE81">
        <f ca="1">IF(OR('Remediation Tracker'!E58="",AND('Remediation Tracker'!I58="Approved",'Remediation Tracker'!J58="Completed",ISNUMBER('Remediation Tracker'!L58),'Remediation Tracker'!M58&lt;&gt;"",'Remediation Tracker'!N58="Validated")),0,IFERROR(INDEX('Risk Register'!$M$7:$M$106,MATCH('Remediation Tracker'!F58,'Risk Register'!$E$7:$E$106,0)),0)*10000+IF(AND(ISNUMBER('Remediation Tracker'!K58),'Remediation Tracker'!K58&lt;TODAY(),'Remediation Tracker'!J58&lt;&gt;"Completed"),1000,0)+107-ROW('Remediation Tracker'!E58))</f>
        <v>0</v>
      </c>
    </row>
    <row r="82" spans="1:32" ht="24.95" customHeight="1">
      <c r="A82" s="29"/>
      <c r="B82" s="29"/>
      <c r="C82" s="29"/>
      <c r="D82" s="29"/>
      <c r="E82" s="9"/>
      <c r="F82" s="32" t="s">
        <v>193</v>
      </c>
      <c r="G82" s="32" t="s">
        <v>193</v>
      </c>
      <c r="H82" s="32" t="s">
        <v>193</v>
      </c>
      <c r="I82" s="32" t="s">
        <v>193</v>
      </c>
      <c r="J82" s="32" t="s">
        <v>193</v>
      </c>
      <c r="K82" s="32" t="s">
        <v>193</v>
      </c>
      <c r="L82" s="32" t="s">
        <v>193</v>
      </c>
      <c r="M82" s="32" t="s">
        <v>193</v>
      </c>
      <c r="N82" s="32" t="s">
        <v>193</v>
      </c>
      <c r="O82" s="32" t="s">
        <v>193</v>
      </c>
      <c r="P82" s="32" t="s">
        <v>193</v>
      </c>
      <c r="Q82" s="32" t="s">
        <v>193</v>
      </c>
      <c r="R82" s="32" t="s">
        <v>193</v>
      </c>
      <c r="S82" s="32" t="s">
        <v>193</v>
      </c>
      <c r="T82" s="32" t="s">
        <v>193</v>
      </c>
      <c r="U82" s="32" t="s">
        <v>193</v>
      </c>
      <c r="V82" s="32" t="s">
        <v>193</v>
      </c>
      <c r="W82" s="32" t="s">
        <v>193</v>
      </c>
      <c r="X82" s="32" t="s">
        <v>193</v>
      </c>
      <c r="Y82" s="32" t="s">
        <v>193</v>
      </c>
      <c r="Z82" s="32" t="s">
        <v>193</v>
      </c>
      <c r="AA82" s="32" t="s">
        <v>193</v>
      </c>
      <c r="AB82" s="32" t="s">
        <v>193</v>
      </c>
      <c r="AE82">
        <f ca="1">IF(OR('Remediation Tracker'!E59="",AND('Remediation Tracker'!I59="Approved",'Remediation Tracker'!J59="Completed",ISNUMBER('Remediation Tracker'!L59),'Remediation Tracker'!M59&lt;&gt;"",'Remediation Tracker'!N59="Validated")),0,IFERROR(INDEX('Risk Register'!$M$7:$M$106,MATCH('Remediation Tracker'!F59,'Risk Register'!$E$7:$E$106,0)),0)*10000+IF(AND(ISNUMBER('Remediation Tracker'!K59),'Remediation Tracker'!K59&lt;TODAY(),'Remediation Tracker'!J59&lt;&gt;"Completed"),1000,0)+107-ROW('Remediation Tracker'!E59))</f>
        <v>0</v>
      </c>
    </row>
    <row r="83" spans="1:32" ht="24.95" customHeight="1">
      <c r="A83" s="29"/>
      <c r="B83" s="29"/>
      <c r="C83" s="29"/>
      <c r="D83" s="29"/>
      <c r="E83" s="9"/>
      <c r="F83" s="28" t="s">
        <v>194</v>
      </c>
      <c r="G83" s="28" t="s">
        <v>194</v>
      </c>
      <c r="H83" s="28" t="s">
        <v>194</v>
      </c>
      <c r="I83" s="28" t="s">
        <v>194</v>
      </c>
      <c r="J83" s="28" t="s">
        <v>194</v>
      </c>
      <c r="K83" s="28" t="s">
        <v>194</v>
      </c>
      <c r="L83" s="28" t="s">
        <v>194</v>
      </c>
      <c r="M83" s="28" t="s">
        <v>194</v>
      </c>
      <c r="N83" s="28" t="s">
        <v>194</v>
      </c>
      <c r="O83" s="28" t="s">
        <v>194</v>
      </c>
      <c r="P83" s="28" t="s">
        <v>194</v>
      </c>
      <c r="Q83" s="28" t="s">
        <v>194</v>
      </c>
      <c r="R83" s="28" t="s">
        <v>194</v>
      </c>
      <c r="S83" s="28" t="s">
        <v>194</v>
      </c>
      <c r="T83" s="28" t="s">
        <v>194</v>
      </c>
      <c r="U83" s="28" t="s">
        <v>194</v>
      </c>
      <c r="V83" s="28" t="s">
        <v>194</v>
      </c>
      <c r="W83" s="28" t="s">
        <v>194</v>
      </c>
      <c r="X83" s="28" t="s">
        <v>194</v>
      </c>
      <c r="Y83" s="28" t="s">
        <v>194</v>
      </c>
      <c r="Z83" s="28" t="s">
        <v>194</v>
      </c>
      <c r="AA83" s="28" t="s">
        <v>194</v>
      </c>
      <c r="AB83" s="28" t="s">
        <v>194</v>
      </c>
      <c r="AE83">
        <f ca="1">IF(OR('Remediation Tracker'!E60="",AND('Remediation Tracker'!I60="Approved",'Remediation Tracker'!J60="Completed",ISNUMBER('Remediation Tracker'!L60),'Remediation Tracker'!M60&lt;&gt;"",'Remediation Tracker'!N60="Validated")),0,IFERROR(INDEX('Risk Register'!$M$7:$M$106,MATCH('Remediation Tracker'!F60,'Risk Register'!$E$7:$E$106,0)),0)*10000+IF(AND(ISNUMBER('Remediation Tracker'!K60),'Remediation Tracker'!K60&lt;TODAY(),'Remediation Tracker'!J60&lt;&gt;"Completed"),1000,0)+107-ROW('Remediation Tracker'!E60))</f>
        <v>0</v>
      </c>
    </row>
    <row r="84" spans="1:32" ht="24.95" customHeight="1">
      <c r="A84" s="29"/>
      <c r="B84" s="29"/>
      <c r="C84" s="29"/>
      <c r="D84" s="29"/>
      <c r="E84" s="9"/>
      <c r="F84" s="27" t="s">
        <v>195</v>
      </c>
      <c r="G84" s="27" t="s">
        <v>195</v>
      </c>
      <c r="H84" s="27" t="s">
        <v>39</v>
      </c>
      <c r="I84" s="27" t="s">
        <v>39</v>
      </c>
      <c r="J84" s="27" t="s">
        <v>39</v>
      </c>
      <c r="K84" s="27" t="s">
        <v>39</v>
      </c>
      <c r="L84" s="27" t="s">
        <v>39</v>
      </c>
      <c r="M84" s="27" t="s">
        <v>196</v>
      </c>
      <c r="N84" s="27" t="s">
        <v>196</v>
      </c>
      <c r="O84" s="27" t="s">
        <v>197</v>
      </c>
      <c r="P84" s="27" t="s">
        <v>197</v>
      </c>
      <c r="Q84" s="27" t="s">
        <v>197</v>
      </c>
      <c r="R84" s="27" t="s">
        <v>197</v>
      </c>
      <c r="S84" s="27" t="s">
        <v>198</v>
      </c>
      <c r="T84" s="27" t="s">
        <v>198</v>
      </c>
      <c r="U84" s="27" t="s">
        <v>198</v>
      </c>
      <c r="V84" s="27" t="s">
        <v>114</v>
      </c>
      <c r="W84" s="27" t="s">
        <v>114</v>
      </c>
      <c r="X84" s="27" t="s">
        <v>114</v>
      </c>
      <c r="Y84" s="27" t="s">
        <v>199</v>
      </c>
      <c r="Z84" s="27" t="s">
        <v>199</v>
      </c>
      <c r="AA84" s="27" t="s">
        <v>199</v>
      </c>
      <c r="AB84" s="27" t="s">
        <v>199</v>
      </c>
      <c r="AE84">
        <f ca="1">IF(OR('Remediation Tracker'!E61="",AND('Remediation Tracker'!I61="Approved",'Remediation Tracker'!J61="Completed",ISNUMBER('Remediation Tracker'!L61),'Remediation Tracker'!M61&lt;&gt;"",'Remediation Tracker'!N61="Validated")),0,IFERROR(INDEX('Risk Register'!$M$7:$M$106,MATCH('Remediation Tracker'!F61,'Risk Register'!$E$7:$E$106,0)),0)*10000+IF(AND(ISNUMBER('Remediation Tracker'!K61),'Remediation Tracker'!K61&lt;TODAY(),'Remediation Tracker'!J61&lt;&gt;"Completed"),1000,0)+107-ROW('Remediation Tracker'!E61))</f>
        <v>0</v>
      </c>
    </row>
    <row r="85" spans="1:32" ht="36" customHeight="1">
      <c r="A85" s="29"/>
      <c r="B85" s="29"/>
      <c r="C85" s="29"/>
      <c r="D85" s="29"/>
      <c r="E85" s="9"/>
      <c r="F85" s="30" t="str">
        <f ca="1">IF($AF85=0,"",INDEX('Remediation Tracker'!$E$7:$E$106,$AF85)&amp;" / "&amp;INDEX('Remediation Tracker'!$F$7:$F$106,$AF85))</f>
        <v>A-001 / R-001</v>
      </c>
      <c r="G85" s="30"/>
      <c r="H85" s="30" t="str">
        <f ca="1">IF($AF85=0,"",INDEX('Remediation Tracker'!$H$7:$H$106,$AF85))</f>
        <v>Security owner - proposed</v>
      </c>
      <c r="I85" s="30"/>
      <c r="J85" s="30"/>
      <c r="K85" s="30"/>
      <c r="L85" s="30"/>
      <c r="M85" s="30">
        <f ca="1">IF($AF85=0,"",IFERROR(INDEX('Risk Register'!$M$7:$M$106,MATCH(INDEX('Remediation Tracker'!$F$7:$F$106,$AF85),'Risk Register'!$E$7:$E$106,0)),"Not scored"))</f>
        <v>12</v>
      </c>
      <c r="N85" s="30"/>
      <c r="O85" s="30" t="str">
        <f ca="1">IF($AF85=0,"",INDEX('Remediation Tracker'!$I$7:$I$106,$AF85))</f>
        <v>Pending approval</v>
      </c>
      <c r="P85" s="30"/>
      <c r="Q85" s="30"/>
      <c r="R85" s="30"/>
      <c r="S85" s="30" t="str">
        <f ca="1">IF($AF85=0,"",INDEX('Remediation Tracker'!$J$7:$J$106,$AF85))</f>
        <v>Proposed</v>
      </c>
      <c r="T85" s="30"/>
      <c r="U85" s="30"/>
      <c r="V85" s="30" t="str">
        <f ca="1">IF($AF85=0,"",IF(ISNUMBER(INDEX('Remediation Tracker'!$K$7:$K$106,$AF85)),TEXT(INDEX('Remediation Tracker'!$K$7:$K$106,$AF85),"mmm d, yyyy"),"Not scheduled"))</f>
        <v>Not scheduled</v>
      </c>
      <c r="W85" s="30"/>
      <c r="X85" s="30"/>
      <c r="Y85" s="30" t="str">
        <f ca="1">IF($AF85=0,"",IF(INDEX('Remediation Tracker'!$I$7:$I$106,$AF85)&lt;&gt;"Approved","Obtain approval",IF(INDEX('Remediation Tracker'!$J$7:$J$106,$AF85)="Completed",IF(INDEX('Remediation Tracker'!$L$7:$L$106,$AF85)=0,"Record completion date",IF(INDEX('Remediation Tracker'!$M$7:$M$106,$AF85)="","Link closure evidence","Validate closure")),IF(INDEX('Remediation Tracker'!$K$7:$K$106,$AF85)=0,"Set target date","Implement and verify"))))</f>
        <v>Obtain approval</v>
      </c>
      <c r="Z85" s="30"/>
      <c r="AA85" s="30"/>
      <c r="AB85" s="30"/>
      <c r="AE85">
        <f ca="1">IF(OR('Remediation Tracker'!E62="",AND('Remediation Tracker'!I62="Approved",'Remediation Tracker'!J62="Completed",ISNUMBER('Remediation Tracker'!L62),'Remediation Tracker'!M62&lt;&gt;"",'Remediation Tracker'!N62="Validated")),0,IFERROR(INDEX('Risk Register'!$M$7:$M$106,MATCH('Remediation Tracker'!F62,'Risk Register'!$E$7:$E$106,0)),0)*10000+IF(AND(ISNUMBER('Remediation Tracker'!K62),'Remediation Tracker'!K62&lt;TODAY(),'Remediation Tracker'!J62&lt;&gt;"Completed"),1000,0)+107-ROW('Remediation Tracker'!E62))</f>
        <v>0</v>
      </c>
      <c r="AF85">
        <f ca="1">IF(LARGE($AE$30:$AE$129,1)=0,0,MATCH(LARGE($AE$30:$AE$129,1),$AE$30:$AE$129,0))</f>
        <v>1</v>
      </c>
    </row>
    <row r="86" spans="1:32" ht="36" customHeight="1">
      <c r="A86" s="29"/>
      <c r="B86" s="29"/>
      <c r="C86" s="29"/>
      <c r="D86" s="29"/>
      <c r="E86" s="9"/>
      <c r="F86" s="27" t="str">
        <f ca="1">IF($AF86=0,"",INDEX('Remediation Tracker'!$E$7:$E$106,$AF86)&amp;" / "&amp;INDEX('Remediation Tracker'!$F$7:$F$106,$AF86))</f>
        <v>A-002 / R-002</v>
      </c>
      <c r="G86" s="27"/>
      <c r="H86" s="27" t="str">
        <f ca="1">IF($AF86=0,"",INDEX('Remediation Tracker'!$H$7:$H$106,$AF86))</f>
        <v>IT / IAM Administrator - proposed</v>
      </c>
      <c r="I86" s="27"/>
      <c r="J86" s="27"/>
      <c r="K86" s="27"/>
      <c r="L86" s="27"/>
      <c r="M86" s="27">
        <f ca="1">IF($AF86=0,"",IFERROR(INDEX('Risk Register'!$M$7:$M$106,MATCH(INDEX('Remediation Tracker'!$F$7:$F$106,$AF86),'Risk Register'!$E$7:$E$106,0)),"Not scored"))</f>
        <v>12</v>
      </c>
      <c r="N86" s="27"/>
      <c r="O86" s="27" t="str">
        <f ca="1">IF($AF86=0,"",INDEX('Remediation Tracker'!$I$7:$I$106,$AF86))</f>
        <v>Pending approval</v>
      </c>
      <c r="P86" s="27"/>
      <c r="Q86" s="27"/>
      <c r="R86" s="27"/>
      <c r="S86" s="27" t="str">
        <f ca="1">IF($AF86=0,"",INDEX('Remediation Tracker'!$J$7:$J$106,$AF86))</f>
        <v>Proposed</v>
      </c>
      <c r="T86" s="27"/>
      <c r="U86" s="27"/>
      <c r="V86" s="27" t="str">
        <f ca="1">IF($AF86=0,"",IF(ISNUMBER(INDEX('Remediation Tracker'!$K$7:$K$106,$AF86)),TEXT(INDEX('Remediation Tracker'!$K$7:$K$106,$AF86),"mmm d, yyyy"),"Not scheduled"))</f>
        <v>Not scheduled</v>
      </c>
      <c r="W86" s="27"/>
      <c r="X86" s="27"/>
      <c r="Y86" s="27" t="str">
        <f ca="1">IF($AF86=0,"",IF(INDEX('Remediation Tracker'!$I$7:$I$106,$AF86)&lt;&gt;"Approved","Obtain approval",IF(INDEX('Remediation Tracker'!$J$7:$J$106,$AF86)="Completed",IF(INDEX('Remediation Tracker'!$L$7:$L$106,$AF86)=0,"Record completion date",IF(INDEX('Remediation Tracker'!$M$7:$M$106,$AF86)="","Link closure evidence","Validate closure")),IF(INDEX('Remediation Tracker'!$K$7:$K$106,$AF86)=0,"Set target date","Implement and verify"))))</f>
        <v>Obtain approval</v>
      </c>
      <c r="Z86" s="27"/>
      <c r="AA86" s="27"/>
      <c r="AB86" s="27"/>
      <c r="AE86">
        <f ca="1">IF(OR('Remediation Tracker'!E63="",AND('Remediation Tracker'!I63="Approved",'Remediation Tracker'!J63="Completed",ISNUMBER('Remediation Tracker'!L63),'Remediation Tracker'!M63&lt;&gt;"",'Remediation Tracker'!N63="Validated")),0,IFERROR(INDEX('Risk Register'!$M$7:$M$106,MATCH('Remediation Tracker'!F63,'Risk Register'!$E$7:$E$106,0)),0)*10000+IF(AND(ISNUMBER('Remediation Tracker'!K63),'Remediation Tracker'!K63&lt;TODAY(),'Remediation Tracker'!J63&lt;&gt;"Completed"),1000,0)+107-ROW('Remediation Tracker'!E63))</f>
        <v>0</v>
      </c>
      <c r="AF86">
        <f ca="1">IF(LARGE($AE$30:$AE$129,2)=0,0,MATCH(LARGE($AE$30:$AE$129,2),$AE$30:$AE$129,0))</f>
        <v>2</v>
      </c>
    </row>
    <row r="87" spans="1:32" ht="36" customHeight="1">
      <c r="A87" s="29"/>
      <c r="B87" s="29"/>
      <c r="C87" s="29"/>
      <c r="D87" s="29"/>
      <c r="E87" s="9"/>
      <c r="F87" s="30" t="str">
        <f ca="1">IF($AF87=0,"",INDEX('Remediation Tracker'!$E$7:$E$106,$AF87)&amp;" / "&amp;INDEX('Remediation Tracker'!$F$7:$F$106,$AF87))</f>
        <v>A-003 / R-003</v>
      </c>
      <c r="G87" s="30"/>
      <c r="H87" s="30" t="str">
        <f ca="1">IF($AF87=0,"",INDEX('Remediation Tracker'!$H$7:$H$106,$AF87))</f>
        <v>Sentinel IAM Administrator - proposed</v>
      </c>
      <c r="I87" s="30"/>
      <c r="J87" s="30"/>
      <c r="K87" s="30"/>
      <c r="L87" s="30"/>
      <c r="M87" s="30">
        <f ca="1">IF($AF87=0,"",IFERROR(INDEX('Risk Register'!$M$7:$M$106,MATCH(INDEX('Remediation Tracker'!$F$7:$F$106,$AF87),'Risk Register'!$E$7:$E$106,0)),"Not scored"))</f>
        <v>12</v>
      </c>
      <c r="N87" s="30"/>
      <c r="O87" s="30" t="str">
        <f ca="1">IF($AF87=0,"",INDEX('Remediation Tracker'!$I$7:$I$106,$AF87))</f>
        <v>Pending approval</v>
      </c>
      <c r="P87" s="30"/>
      <c r="Q87" s="30"/>
      <c r="R87" s="30"/>
      <c r="S87" s="30" t="str">
        <f ca="1">IF($AF87=0,"",INDEX('Remediation Tracker'!$J$7:$J$106,$AF87))</f>
        <v>Proposed</v>
      </c>
      <c r="T87" s="30"/>
      <c r="U87" s="30"/>
      <c r="V87" s="30" t="str">
        <f ca="1">IF($AF87=0,"",IF(ISNUMBER(INDEX('Remediation Tracker'!$K$7:$K$106,$AF87)),TEXT(INDEX('Remediation Tracker'!$K$7:$K$106,$AF87),"mmm d, yyyy"),"Not scheduled"))</f>
        <v>Not scheduled</v>
      </c>
      <c r="W87" s="30"/>
      <c r="X87" s="30"/>
      <c r="Y87" s="30" t="str">
        <f ca="1">IF($AF87=0,"",IF(INDEX('Remediation Tracker'!$I$7:$I$106,$AF87)&lt;&gt;"Approved","Obtain approval",IF(INDEX('Remediation Tracker'!$J$7:$J$106,$AF87)="Completed",IF(INDEX('Remediation Tracker'!$L$7:$L$106,$AF87)=0,"Record completion date",IF(INDEX('Remediation Tracker'!$M$7:$M$106,$AF87)="","Link closure evidence","Validate closure")),IF(INDEX('Remediation Tracker'!$K$7:$K$106,$AF87)=0,"Set target date","Implement and verify"))))</f>
        <v>Obtain approval</v>
      </c>
      <c r="Z87" s="30"/>
      <c r="AA87" s="30"/>
      <c r="AB87" s="30"/>
      <c r="AE87">
        <f ca="1">IF(OR('Remediation Tracker'!E64="",AND('Remediation Tracker'!I64="Approved",'Remediation Tracker'!J64="Completed",ISNUMBER('Remediation Tracker'!L64),'Remediation Tracker'!M64&lt;&gt;"",'Remediation Tracker'!N64="Validated")),0,IFERROR(INDEX('Risk Register'!$M$7:$M$106,MATCH('Remediation Tracker'!F64,'Risk Register'!$E$7:$E$106,0)),0)*10000+IF(AND(ISNUMBER('Remediation Tracker'!K64),'Remediation Tracker'!K64&lt;TODAY(),'Remediation Tracker'!J64&lt;&gt;"Completed"),1000,0)+107-ROW('Remediation Tracker'!E64))</f>
        <v>0</v>
      </c>
      <c r="AF87">
        <f ca="1">IF(LARGE($AE$30:$AE$129,3)=0,0,MATCH(LARGE($AE$30:$AE$129,3),$AE$30:$AE$129,0))</f>
        <v>3</v>
      </c>
    </row>
    <row r="88" spans="1:32" ht="36" customHeight="1">
      <c r="A88" s="29"/>
      <c r="B88" s="29"/>
      <c r="C88" s="29"/>
      <c r="D88" s="29"/>
      <c r="E88" s="9"/>
      <c r="F88" s="27" t="str">
        <f ca="1">IF($AF88=0,"",INDEX('Remediation Tracker'!$E$7:$E$106,$AF88)&amp;" / "&amp;INDEX('Remediation Tracker'!$F$7:$F$106,$AF88))</f>
        <v/>
      </c>
      <c r="G88" s="27"/>
      <c r="H88" s="27" t="str">
        <f ca="1">IF($AF88=0,"",INDEX('Remediation Tracker'!$H$7:$H$106,$AF88))</f>
        <v/>
      </c>
      <c r="I88" s="27"/>
      <c r="J88" s="27"/>
      <c r="K88" s="27"/>
      <c r="L88" s="27"/>
      <c r="M88" s="27" t="str">
        <f ca="1">IF($AF88=0,"",IFERROR(INDEX('Risk Register'!$M$7:$M$106,MATCH(INDEX('Remediation Tracker'!$F$7:$F$106,$AF88),'Risk Register'!$E$7:$E$106,0)),"Not scored"))</f>
        <v/>
      </c>
      <c r="N88" s="27"/>
      <c r="O88" s="27" t="str">
        <f ca="1">IF($AF88=0,"",INDEX('Remediation Tracker'!$I$7:$I$106,$AF88))</f>
        <v/>
      </c>
      <c r="P88" s="27"/>
      <c r="Q88" s="27"/>
      <c r="R88" s="27"/>
      <c r="S88" s="27" t="str">
        <f ca="1">IF($AF88=0,"",INDEX('Remediation Tracker'!$J$7:$J$106,$AF88))</f>
        <v/>
      </c>
      <c r="T88" s="27"/>
      <c r="U88" s="27"/>
      <c r="V88" s="27" t="str">
        <f ca="1">IF($AF88=0,"",IF(ISNUMBER(INDEX('Remediation Tracker'!$K$7:$K$106,$AF88)),TEXT(INDEX('Remediation Tracker'!$K$7:$K$106,$AF88),"mmm d, yyyy"),"Not scheduled"))</f>
        <v/>
      </c>
      <c r="W88" s="27"/>
      <c r="X88" s="27"/>
      <c r="Y88" s="27" t="str">
        <f ca="1">IF($AF88=0,"",IF(INDEX('Remediation Tracker'!$I$7:$I$106,$AF88)&lt;&gt;"Approved","Obtain approval",IF(INDEX('Remediation Tracker'!$J$7:$J$106,$AF88)="Completed",IF(INDEX('Remediation Tracker'!$L$7:$L$106,$AF88)=0,"Record completion date",IF(INDEX('Remediation Tracker'!$M$7:$M$106,$AF88)="","Link closure evidence","Validate closure")),IF(INDEX('Remediation Tracker'!$K$7:$K$106,$AF88)=0,"Set target date","Implement and verify"))))</f>
        <v/>
      </c>
      <c r="Z88" s="27"/>
      <c r="AA88" s="27"/>
      <c r="AB88" s="27"/>
      <c r="AE88">
        <f ca="1">IF(OR('Remediation Tracker'!E65="",AND('Remediation Tracker'!I65="Approved",'Remediation Tracker'!J65="Completed",ISNUMBER('Remediation Tracker'!L65),'Remediation Tracker'!M65&lt;&gt;"",'Remediation Tracker'!N65="Validated")),0,IFERROR(INDEX('Risk Register'!$M$7:$M$106,MATCH('Remediation Tracker'!F65,'Risk Register'!$E$7:$E$106,0)),0)*10000+IF(AND(ISNUMBER('Remediation Tracker'!K65),'Remediation Tracker'!K65&lt;TODAY(),'Remediation Tracker'!J65&lt;&gt;"Completed"),1000,0)+107-ROW('Remediation Tracker'!E65))</f>
        <v>0</v>
      </c>
      <c r="AF88">
        <f ca="1">IF(LARGE($AE$30:$AE$129,4)=0,0,MATCH(LARGE($AE$30:$AE$129,4),$AE$30:$AE$129,0))</f>
        <v>0</v>
      </c>
    </row>
    <row r="89" spans="1:32" ht="36" customHeight="1">
      <c r="A89" s="29"/>
      <c r="B89" s="29"/>
      <c r="C89" s="29"/>
      <c r="D89" s="29"/>
      <c r="E89" s="9"/>
      <c r="F89" s="30" t="str">
        <f ca="1">IF($AF89=0,"",INDEX('Remediation Tracker'!$E$7:$E$106,$AF89)&amp;" / "&amp;INDEX('Remediation Tracker'!$F$7:$F$106,$AF89))</f>
        <v/>
      </c>
      <c r="G89" s="30"/>
      <c r="H89" s="30" t="str">
        <f ca="1">IF($AF89=0,"",INDEX('Remediation Tracker'!$H$7:$H$106,$AF89))</f>
        <v/>
      </c>
      <c r="I89" s="30"/>
      <c r="J89" s="30"/>
      <c r="K89" s="30"/>
      <c r="L89" s="30"/>
      <c r="M89" s="30" t="str">
        <f ca="1">IF($AF89=0,"",IFERROR(INDEX('Risk Register'!$M$7:$M$106,MATCH(INDEX('Remediation Tracker'!$F$7:$F$106,$AF89),'Risk Register'!$E$7:$E$106,0)),"Not scored"))</f>
        <v/>
      </c>
      <c r="N89" s="30"/>
      <c r="O89" s="30" t="str">
        <f ca="1">IF($AF89=0,"",INDEX('Remediation Tracker'!$I$7:$I$106,$AF89))</f>
        <v/>
      </c>
      <c r="P89" s="30"/>
      <c r="Q89" s="30"/>
      <c r="R89" s="30"/>
      <c r="S89" s="30" t="str">
        <f ca="1">IF($AF89=0,"",INDEX('Remediation Tracker'!$J$7:$J$106,$AF89))</f>
        <v/>
      </c>
      <c r="T89" s="30"/>
      <c r="U89" s="30"/>
      <c r="V89" s="30" t="str">
        <f ca="1">IF($AF89=0,"",IF(ISNUMBER(INDEX('Remediation Tracker'!$K$7:$K$106,$AF89)),TEXT(INDEX('Remediation Tracker'!$K$7:$K$106,$AF89),"mmm d, yyyy"),"Not scheduled"))</f>
        <v/>
      </c>
      <c r="W89" s="30"/>
      <c r="X89" s="30"/>
      <c r="Y89" s="30" t="str">
        <f ca="1">IF($AF89=0,"",IF(INDEX('Remediation Tracker'!$I$7:$I$106,$AF89)&lt;&gt;"Approved","Obtain approval",IF(INDEX('Remediation Tracker'!$J$7:$J$106,$AF89)="Completed",IF(INDEX('Remediation Tracker'!$L$7:$L$106,$AF89)=0,"Record completion date",IF(INDEX('Remediation Tracker'!$M$7:$M$106,$AF89)="","Link closure evidence","Validate closure")),IF(INDEX('Remediation Tracker'!$K$7:$K$106,$AF89)=0,"Set target date","Implement and verify"))))</f>
        <v/>
      </c>
      <c r="Z89" s="30"/>
      <c r="AA89" s="30"/>
      <c r="AB89" s="30"/>
      <c r="AE89">
        <f ca="1">IF(OR('Remediation Tracker'!E66="",AND('Remediation Tracker'!I66="Approved",'Remediation Tracker'!J66="Completed",ISNUMBER('Remediation Tracker'!L66),'Remediation Tracker'!M66&lt;&gt;"",'Remediation Tracker'!N66="Validated")),0,IFERROR(INDEX('Risk Register'!$M$7:$M$106,MATCH('Remediation Tracker'!F66,'Risk Register'!$E$7:$E$106,0)),0)*10000+IF(AND(ISNUMBER('Remediation Tracker'!K66),'Remediation Tracker'!K66&lt;TODAY(),'Remediation Tracker'!J66&lt;&gt;"Completed"),1000,0)+107-ROW('Remediation Tracker'!E66))</f>
        <v>0</v>
      </c>
      <c r="AF89">
        <f ca="1">IF(LARGE($AE$30:$AE$129,5)=0,0,MATCH(LARGE($AE$30:$AE$129,5),$AE$30:$AE$129,0))</f>
        <v>0</v>
      </c>
    </row>
    <row r="90" spans="1:32" ht="36" customHeight="1">
      <c r="A90" s="29"/>
      <c r="B90" s="29"/>
      <c r="C90" s="29"/>
      <c r="D90" s="29"/>
      <c r="E90" s="9"/>
      <c r="F90" s="27" t="str">
        <f ca="1">IF($AF90=0,"",INDEX('Remediation Tracker'!$E$7:$E$106,$AF90)&amp;" / "&amp;INDEX('Remediation Tracker'!$F$7:$F$106,$AF90))</f>
        <v/>
      </c>
      <c r="G90" s="27"/>
      <c r="H90" s="27" t="str">
        <f ca="1">IF($AF90=0,"",INDEX('Remediation Tracker'!$H$7:$H$106,$AF90))</f>
        <v/>
      </c>
      <c r="I90" s="27"/>
      <c r="J90" s="27"/>
      <c r="K90" s="27"/>
      <c r="L90" s="27"/>
      <c r="M90" s="27" t="str">
        <f ca="1">IF($AF90=0,"",IFERROR(INDEX('Risk Register'!$M$7:$M$106,MATCH(INDEX('Remediation Tracker'!$F$7:$F$106,$AF90),'Risk Register'!$E$7:$E$106,0)),"Not scored"))</f>
        <v/>
      </c>
      <c r="N90" s="27"/>
      <c r="O90" s="27" t="str">
        <f ca="1">IF($AF90=0,"",INDEX('Remediation Tracker'!$I$7:$I$106,$AF90))</f>
        <v/>
      </c>
      <c r="P90" s="27"/>
      <c r="Q90" s="27"/>
      <c r="R90" s="27"/>
      <c r="S90" s="27" t="str">
        <f ca="1">IF($AF90=0,"",INDEX('Remediation Tracker'!$J$7:$J$106,$AF90))</f>
        <v/>
      </c>
      <c r="T90" s="27"/>
      <c r="U90" s="27"/>
      <c r="V90" s="27" t="str">
        <f ca="1">IF($AF90=0,"",IF(ISNUMBER(INDEX('Remediation Tracker'!$K$7:$K$106,$AF90)),TEXT(INDEX('Remediation Tracker'!$K$7:$K$106,$AF90),"mmm d, yyyy"),"Not scheduled"))</f>
        <v/>
      </c>
      <c r="W90" s="27"/>
      <c r="X90" s="27"/>
      <c r="Y90" s="27" t="str">
        <f ca="1">IF($AF90=0,"",IF(INDEX('Remediation Tracker'!$I$7:$I$106,$AF90)&lt;&gt;"Approved","Obtain approval",IF(INDEX('Remediation Tracker'!$J$7:$J$106,$AF90)="Completed",IF(INDEX('Remediation Tracker'!$L$7:$L$106,$AF90)=0,"Record completion date",IF(INDEX('Remediation Tracker'!$M$7:$M$106,$AF90)="","Link closure evidence","Validate closure")),IF(INDEX('Remediation Tracker'!$K$7:$K$106,$AF90)=0,"Set target date","Implement and verify"))))</f>
        <v/>
      </c>
      <c r="Z90" s="27"/>
      <c r="AA90" s="27"/>
      <c r="AB90" s="27"/>
      <c r="AE90">
        <f ca="1">IF(OR('Remediation Tracker'!E67="",AND('Remediation Tracker'!I67="Approved",'Remediation Tracker'!J67="Completed",ISNUMBER('Remediation Tracker'!L67),'Remediation Tracker'!M67&lt;&gt;"",'Remediation Tracker'!N67="Validated")),0,IFERROR(INDEX('Risk Register'!$M$7:$M$106,MATCH('Remediation Tracker'!F67,'Risk Register'!$E$7:$E$106,0)),0)*10000+IF(AND(ISNUMBER('Remediation Tracker'!K67),'Remediation Tracker'!K67&lt;TODAY(),'Remediation Tracker'!J67&lt;&gt;"Completed"),1000,0)+107-ROW('Remediation Tracker'!E67))</f>
        <v>0</v>
      </c>
      <c r="AF90">
        <f ca="1">IF(LARGE($AE$30:$AE$129,6)=0,0,MATCH(LARGE($AE$30:$AE$129,6),$AE$30:$AE$129,0))</f>
        <v>0</v>
      </c>
    </row>
    <row r="91" spans="1:32" ht="36" customHeight="1">
      <c r="A91" s="29"/>
      <c r="B91" s="29"/>
      <c r="C91" s="29"/>
      <c r="D91" s="29"/>
      <c r="E91" s="9"/>
      <c r="F91" s="30" t="str">
        <f ca="1">IF($AF91=0,"",INDEX('Remediation Tracker'!$E$7:$E$106,$AF91)&amp;" / "&amp;INDEX('Remediation Tracker'!$F$7:$F$106,$AF91))</f>
        <v/>
      </c>
      <c r="G91" s="30"/>
      <c r="H91" s="30" t="str">
        <f ca="1">IF($AF91=0,"",INDEX('Remediation Tracker'!$H$7:$H$106,$AF91))</f>
        <v/>
      </c>
      <c r="I91" s="30"/>
      <c r="J91" s="30"/>
      <c r="K91" s="30"/>
      <c r="L91" s="30"/>
      <c r="M91" s="30" t="str">
        <f ca="1">IF($AF91=0,"",IFERROR(INDEX('Risk Register'!$M$7:$M$106,MATCH(INDEX('Remediation Tracker'!$F$7:$F$106,$AF91),'Risk Register'!$E$7:$E$106,0)),"Not scored"))</f>
        <v/>
      </c>
      <c r="N91" s="30"/>
      <c r="O91" s="30" t="str">
        <f ca="1">IF($AF91=0,"",INDEX('Remediation Tracker'!$I$7:$I$106,$AF91))</f>
        <v/>
      </c>
      <c r="P91" s="30"/>
      <c r="Q91" s="30"/>
      <c r="R91" s="30"/>
      <c r="S91" s="30" t="str">
        <f ca="1">IF($AF91=0,"",INDEX('Remediation Tracker'!$J$7:$J$106,$AF91))</f>
        <v/>
      </c>
      <c r="T91" s="30"/>
      <c r="U91" s="30"/>
      <c r="V91" s="30" t="str">
        <f ca="1">IF($AF91=0,"",IF(ISNUMBER(INDEX('Remediation Tracker'!$K$7:$K$106,$AF91)),TEXT(INDEX('Remediation Tracker'!$K$7:$K$106,$AF91),"mmm d, yyyy"),"Not scheduled"))</f>
        <v/>
      </c>
      <c r="W91" s="30"/>
      <c r="X91" s="30"/>
      <c r="Y91" s="30" t="str">
        <f ca="1">IF($AF91=0,"",IF(INDEX('Remediation Tracker'!$I$7:$I$106,$AF91)&lt;&gt;"Approved","Obtain approval",IF(INDEX('Remediation Tracker'!$J$7:$J$106,$AF91)="Completed",IF(INDEX('Remediation Tracker'!$L$7:$L$106,$AF91)=0,"Record completion date",IF(INDEX('Remediation Tracker'!$M$7:$M$106,$AF91)="","Link closure evidence","Validate closure")),IF(INDEX('Remediation Tracker'!$K$7:$K$106,$AF91)=0,"Set target date","Implement and verify"))))</f>
        <v/>
      </c>
      <c r="Z91" s="30"/>
      <c r="AA91" s="30"/>
      <c r="AB91" s="30"/>
      <c r="AE91">
        <f ca="1">IF(OR('Remediation Tracker'!E68="",AND('Remediation Tracker'!I68="Approved",'Remediation Tracker'!J68="Completed",ISNUMBER('Remediation Tracker'!L68),'Remediation Tracker'!M68&lt;&gt;"",'Remediation Tracker'!N68="Validated")),0,IFERROR(INDEX('Risk Register'!$M$7:$M$106,MATCH('Remediation Tracker'!F68,'Risk Register'!$E$7:$E$106,0)),0)*10000+IF(AND(ISNUMBER('Remediation Tracker'!K68),'Remediation Tracker'!K68&lt;TODAY(),'Remediation Tracker'!J68&lt;&gt;"Completed"),1000,0)+107-ROW('Remediation Tracker'!E68))</f>
        <v>0</v>
      </c>
      <c r="AF91">
        <f ca="1">IF(LARGE($AE$30:$AE$129,7)=0,0,MATCH(LARGE($AE$30:$AE$129,7),$AE$30:$AE$129,0))</f>
        <v>0</v>
      </c>
    </row>
    <row r="92" spans="1:32" ht="36" customHeight="1">
      <c r="A92" s="29"/>
      <c r="B92" s="29"/>
      <c r="C92" s="29"/>
      <c r="D92" s="29"/>
      <c r="E92" s="9"/>
      <c r="F92" s="27" t="str">
        <f ca="1">IF($AF92=0,"",INDEX('Remediation Tracker'!$E$7:$E$106,$AF92)&amp;" / "&amp;INDEX('Remediation Tracker'!$F$7:$F$106,$AF92))</f>
        <v/>
      </c>
      <c r="G92" s="27"/>
      <c r="H92" s="27" t="str">
        <f ca="1">IF($AF92=0,"",INDEX('Remediation Tracker'!$H$7:$H$106,$AF92))</f>
        <v/>
      </c>
      <c r="I92" s="27"/>
      <c r="J92" s="27"/>
      <c r="K92" s="27"/>
      <c r="L92" s="27"/>
      <c r="M92" s="27" t="str">
        <f ca="1">IF($AF92=0,"",IFERROR(INDEX('Risk Register'!$M$7:$M$106,MATCH(INDEX('Remediation Tracker'!$F$7:$F$106,$AF92),'Risk Register'!$E$7:$E$106,0)),"Not scored"))</f>
        <v/>
      </c>
      <c r="N92" s="27"/>
      <c r="O92" s="27" t="str">
        <f ca="1">IF($AF92=0,"",INDEX('Remediation Tracker'!$I$7:$I$106,$AF92))</f>
        <v/>
      </c>
      <c r="P92" s="27"/>
      <c r="Q92" s="27"/>
      <c r="R92" s="27"/>
      <c r="S92" s="27" t="str">
        <f ca="1">IF($AF92=0,"",INDEX('Remediation Tracker'!$J$7:$J$106,$AF92))</f>
        <v/>
      </c>
      <c r="T92" s="27"/>
      <c r="U92" s="27"/>
      <c r="V92" s="27" t="str">
        <f ca="1">IF($AF92=0,"",IF(ISNUMBER(INDEX('Remediation Tracker'!$K$7:$K$106,$AF92)),TEXT(INDEX('Remediation Tracker'!$K$7:$K$106,$AF92),"mmm d, yyyy"),"Not scheduled"))</f>
        <v/>
      </c>
      <c r="W92" s="27"/>
      <c r="X92" s="27"/>
      <c r="Y92" s="27" t="str">
        <f ca="1">IF($AF92=0,"",IF(INDEX('Remediation Tracker'!$I$7:$I$106,$AF92)&lt;&gt;"Approved","Obtain approval",IF(INDEX('Remediation Tracker'!$J$7:$J$106,$AF92)="Completed",IF(INDEX('Remediation Tracker'!$L$7:$L$106,$AF92)=0,"Record completion date",IF(INDEX('Remediation Tracker'!$M$7:$M$106,$AF92)="","Link closure evidence","Validate closure")),IF(INDEX('Remediation Tracker'!$K$7:$K$106,$AF92)=0,"Set target date","Implement and verify"))))</f>
        <v/>
      </c>
      <c r="Z92" s="27"/>
      <c r="AA92" s="27"/>
      <c r="AB92" s="27"/>
      <c r="AE92">
        <f ca="1">IF(OR('Remediation Tracker'!E69="",AND('Remediation Tracker'!I69="Approved",'Remediation Tracker'!J69="Completed",ISNUMBER('Remediation Tracker'!L69),'Remediation Tracker'!M69&lt;&gt;"",'Remediation Tracker'!N69="Validated")),0,IFERROR(INDEX('Risk Register'!$M$7:$M$106,MATCH('Remediation Tracker'!F69,'Risk Register'!$E$7:$E$106,0)),0)*10000+IF(AND(ISNUMBER('Remediation Tracker'!K69),'Remediation Tracker'!K69&lt;TODAY(),'Remediation Tracker'!J69&lt;&gt;"Completed"),1000,0)+107-ROW('Remediation Tracker'!E69))</f>
        <v>0</v>
      </c>
      <c r="AF92">
        <f ca="1">IF(LARGE($AE$30:$AE$129,8)=0,0,MATCH(LARGE($AE$30:$AE$129,8),$AE$30:$AE$129,0))</f>
        <v>0</v>
      </c>
    </row>
    <row r="93" spans="1:32" ht="36" customHeight="1">
      <c r="A93" s="29"/>
      <c r="B93" s="29"/>
      <c r="C93" s="29"/>
      <c r="D93" s="29"/>
      <c r="E93" s="9"/>
      <c r="F93" s="30" t="str">
        <f ca="1">IF($AF93=0,"",INDEX('Remediation Tracker'!$E$7:$E$106,$AF93)&amp;" / "&amp;INDEX('Remediation Tracker'!$F$7:$F$106,$AF93))</f>
        <v/>
      </c>
      <c r="G93" s="30"/>
      <c r="H93" s="30" t="str">
        <f ca="1">IF($AF93=0,"",INDEX('Remediation Tracker'!$H$7:$H$106,$AF93))</f>
        <v/>
      </c>
      <c r="I93" s="30"/>
      <c r="J93" s="30"/>
      <c r="K93" s="30"/>
      <c r="L93" s="30"/>
      <c r="M93" s="30" t="str">
        <f ca="1">IF($AF93=0,"",IFERROR(INDEX('Risk Register'!$M$7:$M$106,MATCH(INDEX('Remediation Tracker'!$F$7:$F$106,$AF93),'Risk Register'!$E$7:$E$106,0)),"Not scored"))</f>
        <v/>
      </c>
      <c r="N93" s="30"/>
      <c r="O93" s="30" t="str">
        <f ca="1">IF($AF93=0,"",INDEX('Remediation Tracker'!$I$7:$I$106,$AF93))</f>
        <v/>
      </c>
      <c r="P93" s="30"/>
      <c r="Q93" s="30"/>
      <c r="R93" s="30"/>
      <c r="S93" s="30" t="str">
        <f ca="1">IF($AF93=0,"",INDEX('Remediation Tracker'!$J$7:$J$106,$AF93))</f>
        <v/>
      </c>
      <c r="T93" s="30"/>
      <c r="U93" s="30"/>
      <c r="V93" s="30" t="str">
        <f ca="1">IF($AF93=0,"",IF(ISNUMBER(INDEX('Remediation Tracker'!$K$7:$K$106,$AF93)),TEXT(INDEX('Remediation Tracker'!$K$7:$K$106,$AF93),"mmm d, yyyy"),"Not scheduled"))</f>
        <v/>
      </c>
      <c r="W93" s="30"/>
      <c r="X93" s="30"/>
      <c r="Y93" s="30" t="str">
        <f ca="1">IF($AF93=0,"",IF(INDEX('Remediation Tracker'!$I$7:$I$106,$AF93)&lt;&gt;"Approved","Obtain approval",IF(INDEX('Remediation Tracker'!$J$7:$J$106,$AF93)="Completed",IF(INDEX('Remediation Tracker'!$L$7:$L$106,$AF93)=0,"Record completion date",IF(INDEX('Remediation Tracker'!$M$7:$M$106,$AF93)="","Link closure evidence","Validate closure")),IF(INDEX('Remediation Tracker'!$K$7:$K$106,$AF93)=0,"Set target date","Implement and verify"))))</f>
        <v/>
      </c>
      <c r="Z93" s="30"/>
      <c r="AA93" s="30"/>
      <c r="AB93" s="30"/>
      <c r="AE93">
        <f ca="1">IF(OR('Remediation Tracker'!E70="",AND('Remediation Tracker'!I70="Approved",'Remediation Tracker'!J70="Completed",ISNUMBER('Remediation Tracker'!L70),'Remediation Tracker'!M70&lt;&gt;"",'Remediation Tracker'!N70="Validated")),0,IFERROR(INDEX('Risk Register'!$M$7:$M$106,MATCH('Remediation Tracker'!F70,'Risk Register'!$E$7:$E$106,0)),0)*10000+IF(AND(ISNUMBER('Remediation Tracker'!K70),'Remediation Tracker'!K70&lt;TODAY(),'Remediation Tracker'!J70&lt;&gt;"Completed"),1000,0)+107-ROW('Remediation Tracker'!E70))</f>
        <v>0</v>
      </c>
      <c r="AF93">
        <f ca="1">IF(LARGE($AE$30:$AE$129,9)=0,0,MATCH(LARGE($AE$30:$AE$129,9),$AE$30:$AE$129,0))</f>
        <v>0</v>
      </c>
    </row>
    <row r="94" spans="1:32" ht="36" customHeight="1">
      <c r="A94" s="29"/>
      <c r="B94" s="29"/>
      <c r="C94" s="29"/>
      <c r="D94" s="29"/>
      <c r="E94" s="9"/>
      <c r="F94" s="27" t="str">
        <f ca="1">IF($AF94=0,"",INDEX('Remediation Tracker'!$E$7:$E$106,$AF94)&amp;" / "&amp;INDEX('Remediation Tracker'!$F$7:$F$106,$AF94))</f>
        <v/>
      </c>
      <c r="G94" s="27"/>
      <c r="H94" s="27" t="str">
        <f ca="1">IF($AF94=0,"",INDEX('Remediation Tracker'!$H$7:$H$106,$AF94))</f>
        <v/>
      </c>
      <c r="I94" s="27"/>
      <c r="J94" s="27"/>
      <c r="K94" s="27"/>
      <c r="L94" s="27"/>
      <c r="M94" s="27" t="str">
        <f ca="1">IF($AF94=0,"",IFERROR(INDEX('Risk Register'!$M$7:$M$106,MATCH(INDEX('Remediation Tracker'!$F$7:$F$106,$AF94),'Risk Register'!$E$7:$E$106,0)),"Not scored"))</f>
        <v/>
      </c>
      <c r="N94" s="27"/>
      <c r="O94" s="27" t="str">
        <f ca="1">IF($AF94=0,"",INDEX('Remediation Tracker'!$I$7:$I$106,$AF94))</f>
        <v/>
      </c>
      <c r="P94" s="27"/>
      <c r="Q94" s="27"/>
      <c r="R94" s="27"/>
      <c r="S94" s="27" t="str">
        <f ca="1">IF($AF94=0,"",INDEX('Remediation Tracker'!$J$7:$J$106,$AF94))</f>
        <v/>
      </c>
      <c r="T94" s="27"/>
      <c r="U94" s="27"/>
      <c r="V94" s="27" t="str">
        <f ca="1">IF($AF94=0,"",IF(ISNUMBER(INDEX('Remediation Tracker'!$K$7:$K$106,$AF94)),TEXT(INDEX('Remediation Tracker'!$K$7:$K$106,$AF94),"mmm d, yyyy"),"Not scheduled"))</f>
        <v/>
      </c>
      <c r="W94" s="27"/>
      <c r="X94" s="27"/>
      <c r="Y94" s="27" t="str">
        <f ca="1">IF($AF94=0,"",IF(INDEX('Remediation Tracker'!$I$7:$I$106,$AF94)&lt;&gt;"Approved","Obtain approval",IF(INDEX('Remediation Tracker'!$J$7:$J$106,$AF94)="Completed",IF(INDEX('Remediation Tracker'!$L$7:$L$106,$AF94)=0,"Record completion date",IF(INDEX('Remediation Tracker'!$M$7:$M$106,$AF94)="","Link closure evidence","Validate closure")),IF(INDEX('Remediation Tracker'!$K$7:$K$106,$AF94)=0,"Set target date","Implement and verify"))))</f>
        <v/>
      </c>
      <c r="Z94" s="27"/>
      <c r="AA94" s="27"/>
      <c r="AB94" s="27"/>
      <c r="AE94">
        <f ca="1">IF(OR('Remediation Tracker'!E71="",AND('Remediation Tracker'!I71="Approved",'Remediation Tracker'!J71="Completed",ISNUMBER('Remediation Tracker'!L71),'Remediation Tracker'!M71&lt;&gt;"",'Remediation Tracker'!N71="Validated")),0,IFERROR(INDEX('Risk Register'!$M$7:$M$106,MATCH('Remediation Tracker'!F71,'Risk Register'!$E$7:$E$106,0)),0)*10000+IF(AND(ISNUMBER('Remediation Tracker'!K71),'Remediation Tracker'!K71&lt;TODAY(),'Remediation Tracker'!J71&lt;&gt;"Completed"),1000,0)+107-ROW('Remediation Tracker'!E71))</f>
        <v>0</v>
      </c>
      <c r="AF94">
        <f ca="1">IF(LARGE($AE$30:$AE$129,10)=0,0,MATCH(LARGE($AE$30:$AE$129,10),$AE$30:$AE$129,0))</f>
        <v>0</v>
      </c>
    </row>
    <row r="95" spans="1:32" ht="24.95" customHeight="1">
      <c r="A95" s="29"/>
      <c r="B95" s="29"/>
      <c r="C95" s="29"/>
      <c r="D95" s="29"/>
      <c r="E95" s="9"/>
      <c r="F95" s="25"/>
      <c r="G95" s="25"/>
      <c r="H95" s="25"/>
      <c r="I95" s="25"/>
      <c r="J95" s="25"/>
      <c r="K95" s="25"/>
      <c r="L95" s="25"/>
      <c r="M95" s="25"/>
      <c r="N95" s="25"/>
      <c r="O95" s="25"/>
      <c r="P95" s="25"/>
      <c r="Q95" s="25"/>
      <c r="R95" s="25"/>
      <c r="S95" s="25"/>
      <c r="T95" s="25"/>
      <c r="U95" s="25"/>
      <c r="V95" s="25"/>
      <c r="W95" s="25"/>
      <c r="X95" s="25"/>
      <c r="Y95" s="25"/>
      <c r="Z95" s="25"/>
      <c r="AA95" s="25"/>
      <c r="AB95" s="25"/>
      <c r="AE95">
        <f ca="1">IF(OR('Remediation Tracker'!E72="",AND('Remediation Tracker'!I72="Approved",'Remediation Tracker'!J72="Completed",ISNUMBER('Remediation Tracker'!L72),'Remediation Tracker'!M72&lt;&gt;"",'Remediation Tracker'!N72="Validated")),0,IFERROR(INDEX('Risk Register'!$M$7:$M$106,MATCH('Remediation Tracker'!F72,'Risk Register'!$E$7:$E$106,0)),0)*10000+IF(AND(ISNUMBER('Remediation Tracker'!K72),'Remediation Tracker'!K72&lt;TODAY(),'Remediation Tracker'!J72&lt;&gt;"Completed"),1000,0)+107-ROW('Remediation Tracker'!E72))</f>
        <v>0</v>
      </c>
    </row>
    <row r="96" spans="1:32" ht="24.95" customHeight="1">
      <c r="A96" s="29"/>
      <c r="B96" s="29"/>
      <c r="C96" s="29"/>
      <c r="D96" s="29"/>
      <c r="E96" s="9"/>
      <c r="F96" s="28" t="s">
        <v>200</v>
      </c>
      <c r="G96" s="28" t="s">
        <v>200</v>
      </c>
      <c r="H96" s="28" t="s">
        <v>200</v>
      </c>
      <c r="I96" s="28" t="s">
        <v>200</v>
      </c>
      <c r="J96" s="28" t="s">
        <v>200</v>
      </c>
      <c r="K96" s="28" t="s">
        <v>200</v>
      </c>
      <c r="L96" s="28" t="s">
        <v>200</v>
      </c>
      <c r="M96" s="28" t="s">
        <v>200</v>
      </c>
      <c r="N96" s="28" t="s">
        <v>200</v>
      </c>
      <c r="O96" s="28" t="s">
        <v>200</v>
      </c>
      <c r="P96" s="28" t="s">
        <v>200</v>
      </c>
      <c r="Q96" s="28" t="s">
        <v>200</v>
      </c>
      <c r="R96" s="28" t="s">
        <v>200</v>
      </c>
      <c r="S96" s="28" t="s">
        <v>200</v>
      </c>
      <c r="T96" s="28" t="s">
        <v>200</v>
      </c>
      <c r="U96" s="28" t="s">
        <v>200</v>
      </c>
      <c r="V96" s="28" t="s">
        <v>200</v>
      </c>
      <c r="W96" s="28" t="s">
        <v>200</v>
      </c>
      <c r="X96" s="28" t="s">
        <v>200</v>
      </c>
      <c r="Y96" s="28" t="s">
        <v>200</v>
      </c>
      <c r="Z96" s="28" t="s">
        <v>200</v>
      </c>
      <c r="AA96" s="28" t="s">
        <v>200</v>
      </c>
      <c r="AB96" s="28" t="s">
        <v>200</v>
      </c>
      <c r="AE96">
        <f ca="1">IF(OR('Remediation Tracker'!E73="",AND('Remediation Tracker'!I73="Approved",'Remediation Tracker'!J73="Completed",ISNUMBER('Remediation Tracker'!L73),'Remediation Tracker'!M73&lt;&gt;"",'Remediation Tracker'!N73="Validated")),0,IFERROR(INDEX('Risk Register'!$M$7:$M$106,MATCH('Remediation Tracker'!F73,'Risk Register'!$E$7:$E$106,0)),0)*10000+IF(AND(ISNUMBER('Remediation Tracker'!K73),'Remediation Tracker'!K73&lt;TODAY(),'Remediation Tracker'!J73&lt;&gt;"Completed"),1000,0)+107-ROW('Remediation Tracker'!E73))</f>
        <v>0</v>
      </c>
    </row>
    <row r="97" spans="31:31">
      <c r="AE97">
        <f ca="1">IF(OR('Remediation Tracker'!E74="",AND('Remediation Tracker'!I74="Approved",'Remediation Tracker'!J74="Completed",ISNUMBER('Remediation Tracker'!L74),'Remediation Tracker'!M74&lt;&gt;"",'Remediation Tracker'!N74="Validated")),0,IFERROR(INDEX('Risk Register'!$M$7:$M$106,MATCH('Remediation Tracker'!F74,'Risk Register'!$E$7:$E$106,0)),0)*10000+IF(AND(ISNUMBER('Remediation Tracker'!K74),'Remediation Tracker'!K74&lt;TODAY(),'Remediation Tracker'!J74&lt;&gt;"Completed"),1000,0)+107-ROW('Remediation Tracker'!E74))</f>
        <v>0</v>
      </c>
    </row>
    <row r="98" spans="31:31">
      <c r="AE98">
        <f ca="1">IF(OR('Remediation Tracker'!E75="",AND('Remediation Tracker'!I75="Approved",'Remediation Tracker'!J75="Completed",ISNUMBER('Remediation Tracker'!L75),'Remediation Tracker'!M75&lt;&gt;"",'Remediation Tracker'!N75="Validated")),0,IFERROR(INDEX('Risk Register'!$M$7:$M$106,MATCH('Remediation Tracker'!F75,'Risk Register'!$E$7:$E$106,0)),0)*10000+IF(AND(ISNUMBER('Remediation Tracker'!K75),'Remediation Tracker'!K75&lt;TODAY(),'Remediation Tracker'!J75&lt;&gt;"Completed"),1000,0)+107-ROW('Remediation Tracker'!E75))</f>
        <v>0</v>
      </c>
    </row>
    <row r="99" spans="31:31">
      <c r="AE99">
        <f ca="1">IF(OR('Remediation Tracker'!E76="",AND('Remediation Tracker'!I76="Approved",'Remediation Tracker'!J76="Completed",ISNUMBER('Remediation Tracker'!L76),'Remediation Tracker'!M76&lt;&gt;"",'Remediation Tracker'!N76="Validated")),0,IFERROR(INDEX('Risk Register'!$M$7:$M$106,MATCH('Remediation Tracker'!F76,'Risk Register'!$E$7:$E$106,0)),0)*10000+IF(AND(ISNUMBER('Remediation Tracker'!K76),'Remediation Tracker'!K76&lt;TODAY(),'Remediation Tracker'!J76&lt;&gt;"Completed"),1000,0)+107-ROW('Remediation Tracker'!E76))</f>
        <v>0</v>
      </c>
    </row>
    <row r="100" spans="31:31">
      <c r="AE100">
        <f ca="1">IF(OR('Remediation Tracker'!E77="",AND('Remediation Tracker'!I77="Approved",'Remediation Tracker'!J77="Completed",ISNUMBER('Remediation Tracker'!L77),'Remediation Tracker'!M77&lt;&gt;"",'Remediation Tracker'!N77="Validated")),0,IFERROR(INDEX('Risk Register'!$M$7:$M$106,MATCH('Remediation Tracker'!F77,'Risk Register'!$E$7:$E$106,0)),0)*10000+IF(AND(ISNUMBER('Remediation Tracker'!K77),'Remediation Tracker'!K77&lt;TODAY(),'Remediation Tracker'!J77&lt;&gt;"Completed"),1000,0)+107-ROW('Remediation Tracker'!E77))</f>
        <v>0</v>
      </c>
    </row>
    <row r="101" spans="31:31">
      <c r="AE101">
        <f ca="1">IF(OR('Remediation Tracker'!E78="",AND('Remediation Tracker'!I78="Approved",'Remediation Tracker'!J78="Completed",ISNUMBER('Remediation Tracker'!L78),'Remediation Tracker'!M78&lt;&gt;"",'Remediation Tracker'!N78="Validated")),0,IFERROR(INDEX('Risk Register'!$M$7:$M$106,MATCH('Remediation Tracker'!F78,'Risk Register'!$E$7:$E$106,0)),0)*10000+IF(AND(ISNUMBER('Remediation Tracker'!K78),'Remediation Tracker'!K78&lt;TODAY(),'Remediation Tracker'!J78&lt;&gt;"Completed"),1000,0)+107-ROW('Remediation Tracker'!E78))</f>
        <v>0</v>
      </c>
    </row>
    <row r="102" spans="31:31">
      <c r="AE102">
        <f ca="1">IF(OR('Remediation Tracker'!E79="",AND('Remediation Tracker'!I79="Approved",'Remediation Tracker'!J79="Completed",ISNUMBER('Remediation Tracker'!L79),'Remediation Tracker'!M79&lt;&gt;"",'Remediation Tracker'!N79="Validated")),0,IFERROR(INDEX('Risk Register'!$M$7:$M$106,MATCH('Remediation Tracker'!F79,'Risk Register'!$E$7:$E$106,0)),0)*10000+IF(AND(ISNUMBER('Remediation Tracker'!K79),'Remediation Tracker'!K79&lt;TODAY(),'Remediation Tracker'!J79&lt;&gt;"Completed"),1000,0)+107-ROW('Remediation Tracker'!E79))</f>
        <v>0</v>
      </c>
    </row>
    <row r="103" spans="31:31">
      <c r="AE103">
        <f ca="1">IF(OR('Remediation Tracker'!E80="",AND('Remediation Tracker'!I80="Approved",'Remediation Tracker'!J80="Completed",ISNUMBER('Remediation Tracker'!L80),'Remediation Tracker'!M80&lt;&gt;"",'Remediation Tracker'!N80="Validated")),0,IFERROR(INDEX('Risk Register'!$M$7:$M$106,MATCH('Remediation Tracker'!F80,'Risk Register'!$E$7:$E$106,0)),0)*10000+IF(AND(ISNUMBER('Remediation Tracker'!K80),'Remediation Tracker'!K80&lt;TODAY(),'Remediation Tracker'!J80&lt;&gt;"Completed"),1000,0)+107-ROW('Remediation Tracker'!E80))</f>
        <v>0</v>
      </c>
    </row>
    <row r="104" spans="31:31">
      <c r="AE104">
        <f ca="1">IF(OR('Remediation Tracker'!E81="",AND('Remediation Tracker'!I81="Approved",'Remediation Tracker'!J81="Completed",ISNUMBER('Remediation Tracker'!L81),'Remediation Tracker'!M81&lt;&gt;"",'Remediation Tracker'!N81="Validated")),0,IFERROR(INDEX('Risk Register'!$M$7:$M$106,MATCH('Remediation Tracker'!F81,'Risk Register'!$E$7:$E$106,0)),0)*10000+IF(AND(ISNUMBER('Remediation Tracker'!K81),'Remediation Tracker'!K81&lt;TODAY(),'Remediation Tracker'!J81&lt;&gt;"Completed"),1000,0)+107-ROW('Remediation Tracker'!E81))</f>
        <v>0</v>
      </c>
    </row>
    <row r="105" spans="31:31">
      <c r="AE105">
        <f ca="1">IF(OR('Remediation Tracker'!E82="",AND('Remediation Tracker'!I82="Approved",'Remediation Tracker'!J82="Completed",ISNUMBER('Remediation Tracker'!L82),'Remediation Tracker'!M82&lt;&gt;"",'Remediation Tracker'!N82="Validated")),0,IFERROR(INDEX('Risk Register'!$M$7:$M$106,MATCH('Remediation Tracker'!F82,'Risk Register'!$E$7:$E$106,0)),0)*10000+IF(AND(ISNUMBER('Remediation Tracker'!K82),'Remediation Tracker'!K82&lt;TODAY(),'Remediation Tracker'!J82&lt;&gt;"Completed"),1000,0)+107-ROW('Remediation Tracker'!E82))</f>
        <v>0</v>
      </c>
    </row>
    <row r="106" spans="31:31">
      <c r="AE106">
        <f ca="1">IF(OR('Remediation Tracker'!E83="",AND('Remediation Tracker'!I83="Approved",'Remediation Tracker'!J83="Completed",ISNUMBER('Remediation Tracker'!L83),'Remediation Tracker'!M83&lt;&gt;"",'Remediation Tracker'!N83="Validated")),0,IFERROR(INDEX('Risk Register'!$M$7:$M$106,MATCH('Remediation Tracker'!F83,'Risk Register'!$E$7:$E$106,0)),0)*10000+IF(AND(ISNUMBER('Remediation Tracker'!K83),'Remediation Tracker'!K83&lt;TODAY(),'Remediation Tracker'!J83&lt;&gt;"Completed"),1000,0)+107-ROW('Remediation Tracker'!E83))</f>
        <v>0</v>
      </c>
    </row>
    <row r="107" spans="31:31">
      <c r="AE107">
        <f ca="1">IF(OR('Remediation Tracker'!E84="",AND('Remediation Tracker'!I84="Approved",'Remediation Tracker'!J84="Completed",ISNUMBER('Remediation Tracker'!L84),'Remediation Tracker'!M84&lt;&gt;"",'Remediation Tracker'!N84="Validated")),0,IFERROR(INDEX('Risk Register'!$M$7:$M$106,MATCH('Remediation Tracker'!F84,'Risk Register'!$E$7:$E$106,0)),0)*10000+IF(AND(ISNUMBER('Remediation Tracker'!K84),'Remediation Tracker'!K84&lt;TODAY(),'Remediation Tracker'!J84&lt;&gt;"Completed"),1000,0)+107-ROW('Remediation Tracker'!E84))</f>
        <v>0</v>
      </c>
    </row>
    <row r="108" spans="31:31">
      <c r="AE108">
        <f ca="1">IF(OR('Remediation Tracker'!E85="",AND('Remediation Tracker'!I85="Approved",'Remediation Tracker'!J85="Completed",ISNUMBER('Remediation Tracker'!L85),'Remediation Tracker'!M85&lt;&gt;"",'Remediation Tracker'!N85="Validated")),0,IFERROR(INDEX('Risk Register'!$M$7:$M$106,MATCH('Remediation Tracker'!F85,'Risk Register'!$E$7:$E$106,0)),0)*10000+IF(AND(ISNUMBER('Remediation Tracker'!K85),'Remediation Tracker'!K85&lt;TODAY(),'Remediation Tracker'!J85&lt;&gt;"Completed"),1000,0)+107-ROW('Remediation Tracker'!E85))</f>
        <v>0</v>
      </c>
    </row>
    <row r="109" spans="31:31">
      <c r="AE109">
        <f ca="1">IF(OR('Remediation Tracker'!E86="",AND('Remediation Tracker'!I86="Approved",'Remediation Tracker'!J86="Completed",ISNUMBER('Remediation Tracker'!L86),'Remediation Tracker'!M86&lt;&gt;"",'Remediation Tracker'!N86="Validated")),0,IFERROR(INDEX('Risk Register'!$M$7:$M$106,MATCH('Remediation Tracker'!F86,'Risk Register'!$E$7:$E$106,0)),0)*10000+IF(AND(ISNUMBER('Remediation Tracker'!K86),'Remediation Tracker'!K86&lt;TODAY(),'Remediation Tracker'!J86&lt;&gt;"Completed"),1000,0)+107-ROW('Remediation Tracker'!E86))</f>
        <v>0</v>
      </c>
    </row>
    <row r="110" spans="31:31">
      <c r="AE110">
        <f ca="1">IF(OR('Remediation Tracker'!E87="",AND('Remediation Tracker'!I87="Approved",'Remediation Tracker'!J87="Completed",ISNUMBER('Remediation Tracker'!L87),'Remediation Tracker'!M87&lt;&gt;"",'Remediation Tracker'!N87="Validated")),0,IFERROR(INDEX('Risk Register'!$M$7:$M$106,MATCH('Remediation Tracker'!F87,'Risk Register'!$E$7:$E$106,0)),0)*10000+IF(AND(ISNUMBER('Remediation Tracker'!K87),'Remediation Tracker'!K87&lt;TODAY(),'Remediation Tracker'!J87&lt;&gt;"Completed"),1000,0)+107-ROW('Remediation Tracker'!E87))</f>
        <v>0</v>
      </c>
    </row>
    <row r="111" spans="31:31">
      <c r="AE111">
        <f ca="1">IF(OR('Remediation Tracker'!E88="",AND('Remediation Tracker'!I88="Approved",'Remediation Tracker'!J88="Completed",ISNUMBER('Remediation Tracker'!L88),'Remediation Tracker'!M88&lt;&gt;"",'Remediation Tracker'!N88="Validated")),0,IFERROR(INDEX('Risk Register'!$M$7:$M$106,MATCH('Remediation Tracker'!F88,'Risk Register'!$E$7:$E$106,0)),0)*10000+IF(AND(ISNUMBER('Remediation Tracker'!K88),'Remediation Tracker'!K88&lt;TODAY(),'Remediation Tracker'!J88&lt;&gt;"Completed"),1000,0)+107-ROW('Remediation Tracker'!E88))</f>
        <v>0</v>
      </c>
    </row>
    <row r="112" spans="31:31">
      <c r="AE112">
        <f ca="1">IF(OR('Remediation Tracker'!E89="",AND('Remediation Tracker'!I89="Approved",'Remediation Tracker'!J89="Completed",ISNUMBER('Remediation Tracker'!L89),'Remediation Tracker'!M89&lt;&gt;"",'Remediation Tracker'!N89="Validated")),0,IFERROR(INDEX('Risk Register'!$M$7:$M$106,MATCH('Remediation Tracker'!F89,'Risk Register'!$E$7:$E$106,0)),0)*10000+IF(AND(ISNUMBER('Remediation Tracker'!K89),'Remediation Tracker'!K89&lt;TODAY(),'Remediation Tracker'!J89&lt;&gt;"Completed"),1000,0)+107-ROW('Remediation Tracker'!E89))</f>
        <v>0</v>
      </c>
    </row>
    <row r="113" spans="31:31">
      <c r="AE113">
        <f ca="1">IF(OR('Remediation Tracker'!E90="",AND('Remediation Tracker'!I90="Approved",'Remediation Tracker'!J90="Completed",ISNUMBER('Remediation Tracker'!L90),'Remediation Tracker'!M90&lt;&gt;"",'Remediation Tracker'!N90="Validated")),0,IFERROR(INDEX('Risk Register'!$M$7:$M$106,MATCH('Remediation Tracker'!F90,'Risk Register'!$E$7:$E$106,0)),0)*10000+IF(AND(ISNUMBER('Remediation Tracker'!K90),'Remediation Tracker'!K90&lt;TODAY(),'Remediation Tracker'!J90&lt;&gt;"Completed"),1000,0)+107-ROW('Remediation Tracker'!E90))</f>
        <v>0</v>
      </c>
    </row>
    <row r="114" spans="31:31">
      <c r="AE114">
        <f ca="1">IF(OR('Remediation Tracker'!E91="",AND('Remediation Tracker'!I91="Approved",'Remediation Tracker'!J91="Completed",ISNUMBER('Remediation Tracker'!L91),'Remediation Tracker'!M91&lt;&gt;"",'Remediation Tracker'!N91="Validated")),0,IFERROR(INDEX('Risk Register'!$M$7:$M$106,MATCH('Remediation Tracker'!F91,'Risk Register'!$E$7:$E$106,0)),0)*10000+IF(AND(ISNUMBER('Remediation Tracker'!K91),'Remediation Tracker'!K91&lt;TODAY(),'Remediation Tracker'!J91&lt;&gt;"Completed"),1000,0)+107-ROW('Remediation Tracker'!E91))</f>
        <v>0</v>
      </c>
    </row>
    <row r="115" spans="31:31">
      <c r="AE115">
        <f ca="1">IF(OR('Remediation Tracker'!E92="",AND('Remediation Tracker'!I92="Approved",'Remediation Tracker'!J92="Completed",ISNUMBER('Remediation Tracker'!L92),'Remediation Tracker'!M92&lt;&gt;"",'Remediation Tracker'!N92="Validated")),0,IFERROR(INDEX('Risk Register'!$M$7:$M$106,MATCH('Remediation Tracker'!F92,'Risk Register'!$E$7:$E$106,0)),0)*10000+IF(AND(ISNUMBER('Remediation Tracker'!K92),'Remediation Tracker'!K92&lt;TODAY(),'Remediation Tracker'!J92&lt;&gt;"Completed"),1000,0)+107-ROW('Remediation Tracker'!E92))</f>
        <v>0</v>
      </c>
    </row>
    <row r="116" spans="31:31">
      <c r="AE116">
        <f ca="1">IF(OR('Remediation Tracker'!E93="",AND('Remediation Tracker'!I93="Approved",'Remediation Tracker'!J93="Completed",ISNUMBER('Remediation Tracker'!L93),'Remediation Tracker'!M93&lt;&gt;"",'Remediation Tracker'!N93="Validated")),0,IFERROR(INDEX('Risk Register'!$M$7:$M$106,MATCH('Remediation Tracker'!F93,'Risk Register'!$E$7:$E$106,0)),0)*10000+IF(AND(ISNUMBER('Remediation Tracker'!K93),'Remediation Tracker'!K93&lt;TODAY(),'Remediation Tracker'!J93&lt;&gt;"Completed"),1000,0)+107-ROW('Remediation Tracker'!E93))</f>
        <v>0</v>
      </c>
    </row>
    <row r="117" spans="31:31">
      <c r="AE117">
        <f ca="1">IF(OR('Remediation Tracker'!E94="",AND('Remediation Tracker'!I94="Approved",'Remediation Tracker'!J94="Completed",ISNUMBER('Remediation Tracker'!L94),'Remediation Tracker'!M94&lt;&gt;"",'Remediation Tracker'!N94="Validated")),0,IFERROR(INDEX('Risk Register'!$M$7:$M$106,MATCH('Remediation Tracker'!F94,'Risk Register'!$E$7:$E$106,0)),0)*10000+IF(AND(ISNUMBER('Remediation Tracker'!K94),'Remediation Tracker'!K94&lt;TODAY(),'Remediation Tracker'!J94&lt;&gt;"Completed"),1000,0)+107-ROW('Remediation Tracker'!E94))</f>
        <v>0</v>
      </c>
    </row>
    <row r="118" spans="31:31">
      <c r="AE118">
        <f ca="1">IF(OR('Remediation Tracker'!E95="",AND('Remediation Tracker'!I95="Approved",'Remediation Tracker'!J95="Completed",ISNUMBER('Remediation Tracker'!L95),'Remediation Tracker'!M95&lt;&gt;"",'Remediation Tracker'!N95="Validated")),0,IFERROR(INDEX('Risk Register'!$M$7:$M$106,MATCH('Remediation Tracker'!F95,'Risk Register'!$E$7:$E$106,0)),0)*10000+IF(AND(ISNUMBER('Remediation Tracker'!K95),'Remediation Tracker'!K95&lt;TODAY(),'Remediation Tracker'!J95&lt;&gt;"Completed"),1000,0)+107-ROW('Remediation Tracker'!E95))</f>
        <v>0</v>
      </c>
    </row>
    <row r="119" spans="31:31">
      <c r="AE119">
        <f ca="1">IF(OR('Remediation Tracker'!E96="",AND('Remediation Tracker'!I96="Approved",'Remediation Tracker'!J96="Completed",ISNUMBER('Remediation Tracker'!L96),'Remediation Tracker'!M96&lt;&gt;"",'Remediation Tracker'!N96="Validated")),0,IFERROR(INDEX('Risk Register'!$M$7:$M$106,MATCH('Remediation Tracker'!F96,'Risk Register'!$E$7:$E$106,0)),0)*10000+IF(AND(ISNUMBER('Remediation Tracker'!K96),'Remediation Tracker'!K96&lt;TODAY(),'Remediation Tracker'!J96&lt;&gt;"Completed"),1000,0)+107-ROW('Remediation Tracker'!E96))</f>
        <v>0</v>
      </c>
    </row>
    <row r="120" spans="31:31">
      <c r="AE120">
        <f ca="1">IF(OR('Remediation Tracker'!E97="",AND('Remediation Tracker'!I97="Approved",'Remediation Tracker'!J97="Completed",ISNUMBER('Remediation Tracker'!L97),'Remediation Tracker'!M97&lt;&gt;"",'Remediation Tracker'!N97="Validated")),0,IFERROR(INDEX('Risk Register'!$M$7:$M$106,MATCH('Remediation Tracker'!F97,'Risk Register'!$E$7:$E$106,0)),0)*10000+IF(AND(ISNUMBER('Remediation Tracker'!K97),'Remediation Tracker'!K97&lt;TODAY(),'Remediation Tracker'!J97&lt;&gt;"Completed"),1000,0)+107-ROW('Remediation Tracker'!E97))</f>
        <v>0</v>
      </c>
    </row>
    <row r="121" spans="31:31">
      <c r="AE121">
        <f ca="1">IF(OR('Remediation Tracker'!E98="",AND('Remediation Tracker'!I98="Approved",'Remediation Tracker'!J98="Completed",ISNUMBER('Remediation Tracker'!L98),'Remediation Tracker'!M98&lt;&gt;"",'Remediation Tracker'!N98="Validated")),0,IFERROR(INDEX('Risk Register'!$M$7:$M$106,MATCH('Remediation Tracker'!F98,'Risk Register'!$E$7:$E$106,0)),0)*10000+IF(AND(ISNUMBER('Remediation Tracker'!K98),'Remediation Tracker'!K98&lt;TODAY(),'Remediation Tracker'!J98&lt;&gt;"Completed"),1000,0)+107-ROW('Remediation Tracker'!E98))</f>
        <v>0</v>
      </c>
    </row>
    <row r="122" spans="31:31">
      <c r="AE122">
        <f ca="1">IF(OR('Remediation Tracker'!E99="",AND('Remediation Tracker'!I99="Approved",'Remediation Tracker'!J99="Completed",ISNUMBER('Remediation Tracker'!L99),'Remediation Tracker'!M99&lt;&gt;"",'Remediation Tracker'!N99="Validated")),0,IFERROR(INDEX('Risk Register'!$M$7:$M$106,MATCH('Remediation Tracker'!F99,'Risk Register'!$E$7:$E$106,0)),0)*10000+IF(AND(ISNUMBER('Remediation Tracker'!K99),'Remediation Tracker'!K99&lt;TODAY(),'Remediation Tracker'!J99&lt;&gt;"Completed"),1000,0)+107-ROW('Remediation Tracker'!E99))</f>
        <v>0</v>
      </c>
    </row>
    <row r="123" spans="31:31">
      <c r="AE123">
        <f ca="1">IF(OR('Remediation Tracker'!E100="",AND('Remediation Tracker'!I100="Approved",'Remediation Tracker'!J100="Completed",ISNUMBER('Remediation Tracker'!L100),'Remediation Tracker'!M100&lt;&gt;"",'Remediation Tracker'!N100="Validated")),0,IFERROR(INDEX('Risk Register'!$M$7:$M$106,MATCH('Remediation Tracker'!F100,'Risk Register'!$E$7:$E$106,0)),0)*10000+IF(AND(ISNUMBER('Remediation Tracker'!K100),'Remediation Tracker'!K100&lt;TODAY(),'Remediation Tracker'!J100&lt;&gt;"Completed"),1000,0)+107-ROW('Remediation Tracker'!E100))</f>
        <v>0</v>
      </c>
    </row>
    <row r="124" spans="31:31">
      <c r="AE124">
        <f ca="1">IF(OR('Remediation Tracker'!E101="",AND('Remediation Tracker'!I101="Approved",'Remediation Tracker'!J101="Completed",ISNUMBER('Remediation Tracker'!L101),'Remediation Tracker'!M101&lt;&gt;"",'Remediation Tracker'!N101="Validated")),0,IFERROR(INDEX('Risk Register'!$M$7:$M$106,MATCH('Remediation Tracker'!F101,'Risk Register'!$E$7:$E$106,0)),0)*10000+IF(AND(ISNUMBER('Remediation Tracker'!K101),'Remediation Tracker'!K101&lt;TODAY(),'Remediation Tracker'!J101&lt;&gt;"Completed"),1000,0)+107-ROW('Remediation Tracker'!E101))</f>
        <v>0</v>
      </c>
    </row>
    <row r="125" spans="31:31">
      <c r="AE125">
        <f ca="1">IF(OR('Remediation Tracker'!E102="",AND('Remediation Tracker'!I102="Approved",'Remediation Tracker'!J102="Completed",ISNUMBER('Remediation Tracker'!L102),'Remediation Tracker'!M102&lt;&gt;"",'Remediation Tracker'!N102="Validated")),0,IFERROR(INDEX('Risk Register'!$M$7:$M$106,MATCH('Remediation Tracker'!F102,'Risk Register'!$E$7:$E$106,0)),0)*10000+IF(AND(ISNUMBER('Remediation Tracker'!K102),'Remediation Tracker'!K102&lt;TODAY(),'Remediation Tracker'!J102&lt;&gt;"Completed"),1000,0)+107-ROW('Remediation Tracker'!E102))</f>
        <v>0</v>
      </c>
    </row>
    <row r="126" spans="31:31">
      <c r="AE126">
        <f ca="1">IF(OR('Remediation Tracker'!E103="",AND('Remediation Tracker'!I103="Approved",'Remediation Tracker'!J103="Completed",ISNUMBER('Remediation Tracker'!L103),'Remediation Tracker'!M103&lt;&gt;"",'Remediation Tracker'!N103="Validated")),0,IFERROR(INDEX('Risk Register'!$M$7:$M$106,MATCH('Remediation Tracker'!F103,'Risk Register'!$E$7:$E$106,0)),0)*10000+IF(AND(ISNUMBER('Remediation Tracker'!K103),'Remediation Tracker'!K103&lt;TODAY(),'Remediation Tracker'!J103&lt;&gt;"Completed"),1000,0)+107-ROW('Remediation Tracker'!E103))</f>
        <v>0</v>
      </c>
    </row>
    <row r="127" spans="31:31">
      <c r="AE127">
        <f ca="1">IF(OR('Remediation Tracker'!E104="",AND('Remediation Tracker'!I104="Approved",'Remediation Tracker'!J104="Completed",ISNUMBER('Remediation Tracker'!L104),'Remediation Tracker'!M104&lt;&gt;"",'Remediation Tracker'!N104="Validated")),0,IFERROR(INDEX('Risk Register'!$M$7:$M$106,MATCH('Remediation Tracker'!F104,'Risk Register'!$E$7:$E$106,0)),0)*10000+IF(AND(ISNUMBER('Remediation Tracker'!K104),'Remediation Tracker'!K104&lt;TODAY(),'Remediation Tracker'!J104&lt;&gt;"Completed"),1000,0)+107-ROW('Remediation Tracker'!E104))</f>
        <v>0</v>
      </c>
    </row>
    <row r="128" spans="31:31">
      <c r="AE128">
        <f ca="1">IF(OR('Remediation Tracker'!E105="",AND('Remediation Tracker'!I105="Approved",'Remediation Tracker'!J105="Completed",ISNUMBER('Remediation Tracker'!L105),'Remediation Tracker'!M105&lt;&gt;"",'Remediation Tracker'!N105="Validated")),0,IFERROR(INDEX('Risk Register'!$M$7:$M$106,MATCH('Remediation Tracker'!F105,'Risk Register'!$E$7:$E$106,0)),0)*10000+IF(AND(ISNUMBER('Remediation Tracker'!K105),'Remediation Tracker'!K105&lt;TODAY(),'Remediation Tracker'!J105&lt;&gt;"Completed"),1000,0)+107-ROW('Remediation Tracker'!E105))</f>
        <v>0</v>
      </c>
    </row>
    <row r="129" spans="31:31">
      <c r="AE129">
        <f ca="1">IF(OR('Remediation Tracker'!E106="",AND('Remediation Tracker'!I106="Approved",'Remediation Tracker'!J106="Completed",ISNUMBER('Remediation Tracker'!L106),'Remediation Tracker'!M106&lt;&gt;"",'Remediation Tracker'!N106="Validated")),0,IFERROR(INDEX('Risk Register'!$M$7:$M$106,MATCH('Remediation Tracker'!F106,'Risk Register'!$E$7:$E$106,0)),0)*10000+IF(AND(ISNUMBER('Remediation Tracker'!K106),'Remediation Tracker'!K106&lt;TODAY(),'Remediation Tracker'!J106&lt;&gt;"Completed"),1000,0)+107-ROW('Remediation Tracker'!E106))</f>
        <v>0</v>
      </c>
    </row>
  </sheetData>
  <mergeCells count="226">
    <mergeCell ref="F5:AB5"/>
    <mergeCell ref="L7:Q7"/>
    <mergeCell ref="T6:AB6"/>
    <mergeCell ref="T7:Y7"/>
    <mergeCell ref="L10:P11"/>
    <mergeCell ref="L6:Q6"/>
    <mergeCell ref="R32:X33"/>
    <mergeCell ref="Y32:AB33"/>
    <mergeCell ref="R35:AB37"/>
    <mergeCell ref="F15:P15"/>
    <mergeCell ref="R15:AB15"/>
    <mergeCell ref="R24:AB25"/>
    <mergeCell ref="F28:P28"/>
    <mergeCell ref="F30:P30"/>
    <mergeCell ref="R30:AB30"/>
    <mergeCell ref="F8:AB8"/>
    <mergeCell ref="F10:J11"/>
    <mergeCell ref="F12:J13"/>
    <mergeCell ref="L12:P13"/>
    <mergeCell ref="R10:V11"/>
    <mergeCell ref="R12:V13"/>
    <mergeCell ref="X10:AB11"/>
    <mergeCell ref="X12:AB13"/>
    <mergeCell ref="F52:AB52"/>
    <mergeCell ref="F53:AB54"/>
    <mergeCell ref="F55:AB56"/>
    <mergeCell ref="F57:AB58"/>
    <mergeCell ref="F60:AB60"/>
    <mergeCell ref="F59:AB59"/>
    <mergeCell ref="R29:W29"/>
    <mergeCell ref="X29:AB29"/>
    <mergeCell ref="F46:AB46"/>
    <mergeCell ref="F48:J48"/>
    <mergeCell ref="F49:J50"/>
    <mergeCell ref="L48:P48"/>
    <mergeCell ref="L49:P50"/>
    <mergeCell ref="R48:V48"/>
    <mergeCell ref="R49:V50"/>
    <mergeCell ref="X48:AB48"/>
    <mergeCell ref="X49:AB50"/>
    <mergeCell ref="F43:AB44"/>
    <mergeCell ref="R39:Z39"/>
    <mergeCell ref="R40:Z40"/>
    <mergeCell ref="V61:X61"/>
    <mergeCell ref="Y61:AB61"/>
    <mergeCell ref="F62:G62"/>
    <mergeCell ref="H62:L62"/>
    <mergeCell ref="M62:N62"/>
    <mergeCell ref="O62:R62"/>
    <mergeCell ref="S62:U62"/>
    <mergeCell ref="V62:X62"/>
    <mergeCell ref="Y62:AB62"/>
    <mergeCell ref="F61:G61"/>
    <mergeCell ref="H61:L61"/>
    <mergeCell ref="M61:N61"/>
    <mergeCell ref="O61:R61"/>
    <mergeCell ref="S61:U61"/>
    <mergeCell ref="V63:X63"/>
    <mergeCell ref="Y63:AB63"/>
    <mergeCell ref="F64:G64"/>
    <mergeCell ref="H64:L64"/>
    <mergeCell ref="M64:N64"/>
    <mergeCell ref="O64:R64"/>
    <mergeCell ref="S64:U64"/>
    <mergeCell ref="V64:X64"/>
    <mergeCell ref="Y64:AB64"/>
    <mergeCell ref="F63:G63"/>
    <mergeCell ref="H63:L63"/>
    <mergeCell ref="M63:N63"/>
    <mergeCell ref="O63:R63"/>
    <mergeCell ref="S63:U63"/>
    <mergeCell ref="V65:X65"/>
    <mergeCell ref="Y65:AB65"/>
    <mergeCell ref="F66:G66"/>
    <mergeCell ref="H66:L66"/>
    <mergeCell ref="M66:N66"/>
    <mergeCell ref="O66:R66"/>
    <mergeCell ref="S66:U66"/>
    <mergeCell ref="V66:X66"/>
    <mergeCell ref="Y66:AB66"/>
    <mergeCell ref="F65:G65"/>
    <mergeCell ref="H65:L65"/>
    <mergeCell ref="M65:N65"/>
    <mergeCell ref="O65:R65"/>
    <mergeCell ref="S65:U65"/>
    <mergeCell ref="V67:X67"/>
    <mergeCell ref="Y67:AB67"/>
    <mergeCell ref="F68:G68"/>
    <mergeCell ref="H68:L68"/>
    <mergeCell ref="M68:N68"/>
    <mergeCell ref="O68:R68"/>
    <mergeCell ref="S68:U68"/>
    <mergeCell ref="V68:X68"/>
    <mergeCell ref="Y68:AB68"/>
    <mergeCell ref="F67:G67"/>
    <mergeCell ref="H67:L67"/>
    <mergeCell ref="M67:N67"/>
    <mergeCell ref="O67:R67"/>
    <mergeCell ref="S67:U67"/>
    <mergeCell ref="V69:X69"/>
    <mergeCell ref="Y69:AB69"/>
    <mergeCell ref="F70:G70"/>
    <mergeCell ref="H70:L70"/>
    <mergeCell ref="M70:N70"/>
    <mergeCell ref="O70:R70"/>
    <mergeCell ref="S70:U70"/>
    <mergeCell ref="V70:X70"/>
    <mergeCell ref="Y70:AB70"/>
    <mergeCell ref="F69:G69"/>
    <mergeCell ref="H69:L69"/>
    <mergeCell ref="M69:N69"/>
    <mergeCell ref="O69:R69"/>
    <mergeCell ref="S69:U69"/>
    <mergeCell ref="V71:X71"/>
    <mergeCell ref="Y71:AB71"/>
    <mergeCell ref="F73:P73"/>
    <mergeCell ref="R73:AB73"/>
    <mergeCell ref="F74:M74"/>
    <mergeCell ref="N74:P74"/>
    <mergeCell ref="F71:G71"/>
    <mergeCell ref="H71:L71"/>
    <mergeCell ref="M71:N71"/>
    <mergeCell ref="O71:R71"/>
    <mergeCell ref="S71:U71"/>
    <mergeCell ref="F79:P80"/>
    <mergeCell ref="R79:AB80"/>
    <mergeCell ref="R81:AB81"/>
    <mergeCell ref="F82:AB82"/>
    <mergeCell ref="F83:AB83"/>
    <mergeCell ref="F78:M78"/>
    <mergeCell ref="N78:P78"/>
    <mergeCell ref="R74:Y74"/>
    <mergeCell ref="Z74:AB74"/>
    <mergeCell ref="R75:Y75"/>
    <mergeCell ref="Z75:AB75"/>
    <mergeCell ref="R76:Y76"/>
    <mergeCell ref="Z76:AB76"/>
    <mergeCell ref="R77:Y77"/>
    <mergeCell ref="Z77:AB77"/>
    <mergeCell ref="R78:Y78"/>
    <mergeCell ref="Z78:AB78"/>
    <mergeCell ref="F75:M75"/>
    <mergeCell ref="N75:P75"/>
    <mergeCell ref="F76:M76"/>
    <mergeCell ref="N76:P76"/>
    <mergeCell ref="F77:M77"/>
    <mergeCell ref="N77:P77"/>
    <mergeCell ref="V84:X84"/>
    <mergeCell ref="Y84:AB84"/>
    <mergeCell ref="F85:G85"/>
    <mergeCell ref="H85:L85"/>
    <mergeCell ref="M85:N85"/>
    <mergeCell ref="O85:R85"/>
    <mergeCell ref="S85:U85"/>
    <mergeCell ref="V85:X85"/>
    <mergeCell ref="Y85:AB85"/>
    <mergeCell ref="F84:G84"/>
    <mergeCell ref="H84:L84"/>
    <mergeCell ref="M84:N84"/>
    <mergeCell ref="O84:R84"/>
    <mergeCell ref="S84:U84"/>
    <mergeCell ref="V86:X86"/>
    <mergeCell ref="Y86:AB86"/>
    <mergeCell ref="F87:G87"/>
    <mergeCell ref="H87:L87"/>
    <mergeCell ref="M87:N87"/>
    <mergeCell ref="O87:R87"/>
    <mergeCell ref="S87:U87"/>
    <mergeCell ref="V87:X87"/>
    <mergeCell ref="Y87:AB87"/>
    <mergeCell ref="F86:G86"/>
    <mergeCell ref="H86:L86"/>
    <mergeCell ref="M86:N86"/>
    <mergeCell ref="O86:R86"/>
    <mergeCell ref="S86:U86"/>
    <mergeCell ref="V88:X88"/>
    <mergeCell ref="Y88:AB88"/>
    <mergeCell ref="F89:G89"/>
    <mergeCell ref="H89:L89"/>
    <mergeCell ref="M89:N89"/>
    <mergeCell ref="O89:R89"/>
    <mergeCell ref="S89:U89"/>
    <mergeCell ref="V89:X89"/>
    <mergeCell ref="Y89:AB89"/>
    <mergeCell ref="F88:G88"/>
    <mergeCell ref="H88:L88"/>
    <mergeCell ref="M88:N88"/>
    <mergeCell ref="O88:R88"/>
    <mergeCell ref="S88:U88"/>
    <mergeCell ref="Y90:AB90"/>
    <mergeCell ref="F91:G91"/>
    <mergeCell ref="H91:L91"/>
    <mergeCell ref="M91:N91"/>
    <mergeCell ref="O91:R91"/>
    <mergeCell ref="S91:U91"/>
    <mergeCell ref="V91:X91"/>
    <mergeCell ref="Y91:AB91"/>
    <mergeCell ref="F90:G90"/>
    <mergeCell ref="H90:L90"/>
    <mergeCell ref="M90:N90"/>
    <mergeCell ref="O90:R90"/>
    <mergeCell ref="S90:U90"/>
    <mergeCell ref="V94:X94"/>
    <mergeCell ref="Y94:AB94"/>
    <mergeCell ref="F96:AB96"/>
    <mergeCell ref="A1:D96"/>
    <mergeCell ref="F94:G94"/>
    <mergeCell ref="H94:L94"/>
    <mergeCell ref="M94:N94"/>
    <mergeCell ref="O94:R94"/>
    <mergeCell ref="S94:U94"/>
    <mergeCell ref="V92:X92"/>
    <mergeCell ref="Y92:AB92"/>
    <mergeCell ref="F93:G93"/>
    <mergeCell ref="H93:L93"/>
    <mergeCell ref="M93:N93"/>
    <mergeCell ref="O93:R93"/>
    <mergeCell ref="S93:U93"/>
    <mergeCell ref="V93:X93"/>
    <mergeCell ref="Y93:AB93"/>
    <mergeCell ref="F92:G92"/>
    <mergeCell ref="H92:L92"/>
    <mergeCell ref="M92:N92"/>
    <mergeCell ref="O92:R92"/>
    <mergeCell ref="S92:U92"/>
    <mergeCell ref="V90:X90"/>
  </mergeCells>
  <conditionalFormatting sqref="V18:Z22">
    <cfRule type="expression" dxfId="39" priority="101">
      <formula>$U18*V$17&lt;$AE$16</formula>
    </cfRule>
    <cfRule type="expression" dxfId="38" priority="102">
      <formula>AND($U18*V$17&gt;=$AE$16,$U18*V$17&lt;$AF$16)</formula>
    </cfRule>
    <cfRule type="expression" dxfId="37" priority="103">
      <formula>AND($U18*V$17&gt;=$AF$16,$U18*V$17&lt;$AG$16)</formula>
    </cfRule>
    <cfRule type="expression" dxfId="36" priority="104">
      <formula>$U18*V$17&gt;=$AG$16</formula>
    </cfRule>
    <cfRule type="expression" dxfId="35" priority="205">
      <formula>$U18*V$17&lt;$AE$16</formula>
    </cfRule>
    <cfRule type="expression" dxfId="34" priority="206">
      <formula>AND($U18*V$17&gt;=$AE$16,$U18*V$17&lt;$AF$16)</formula>
    </cfRule>
    <cfRule type="expression" dxfId="33" priority="207">
      <formula>AND($U18*V$17&gt;=$AF$16,$U18*V$17&lt;$AG$16)</formula>
    </cfRule>
    <cfRule type="expression" dxfId="32" priority="208">
      <formula>$U18*V$17&gt;=$AG$16</formula>
    </cfRule>
  </conditionalFormatting>
  <conditionalFormatting sqref="Y32:AB33">
    <cfRule type="expression" dxfId="31" priority="305">
      <formula>$AE$17="Low"</formula>
    </cfRule>
    <cfRule type="expression" dxfId="30" priority="306">
      <formula>$AE$17="Moderate"</formula>
    </cfRule>
    <cfRule type="expression" dxfId="29" priority="307">
      <formula>$AE$17="High"</formula>
    </cfRule>
    <cfRule type="expression" dxfId="28" priority="308">
      <formula>$AE$17="Critical"</formula>
    </cfRule>
  </conditionalFormatting>
  <dataValidations count="3">
    <dataValidation type="list" allowBlank="1" showErrorMessage="1" errorTitle="Select an allowed option" error="Choose a dropdown value or leave an unknown input blank." sqref="L7" xr:uid="{00000000-0002-0000-0000-000000000000}">
      <formula1>"All,Pending validation,Validated,Rejected"</formula1>
    </dataValidation>
    <dataValidation type="list" allowBlank="1" showErrorMessage="1" errorTitle="Select an allowed option" error="Choose a dropdown value or leave an unknown input blank." sqref="T7" xr:uid="{00000000-0002-0000-0000-000001000000}">
      <formula1>"All,Low,Moderate,High,Critical"</formula1>
    </dataValidation>
    <dataValidation type="list" sqref="X29" xr:uid="{00000000-0002-0000-0000-000002000000}">
      <formula1>RiskTitles</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02F47"/>
  </sheetPr>
  <dimension ref="A1:Y110"/>
  <sheetViews>
    <sheetView showGridLines="0" zoomScale="78" zoomScaleNormal="78" workbookViewId="0">
      <pane xSplit="6" topLeftCell="G1" activePane="topRight" state="frozen"/>
      <selection pane="topRight"/>
    </sheetView>
  </sheetViews>
  <sheetFormatPr defaultRowHeight="14.25"/>
  <cols>
    <col min="1" max="4" width="7.25" customWidth="1"/>
    <col min="5" max="5" width="7.125" bestFit="1" customWidth="1"/>
    <col min="6" max="6" width="27.125" bestFit="1" customWidth="1"/>
    <col min="7" max="8" width="47.875" bestFit="1" customWidth="1"/>
    <col min="9" max="9" width="25" customWidth="1"/>
    <col min="10" max="10" width="16.625" bestFit="1" customWidth="1"/>
    <col min="11" max="11" width="10.375" bestFit="1" customWidth="1"/>
    <col min="12" max="12" width="7" bestFit="1" customWidth="1"/>
    <col min="13" max="14" width="14.375" bestFit="1" customWidth="1"/>
    <col min="15" max="15" width="28.25" bestFit="1" customWidth="1"/>
    <col min="16" max="16" width="10.375" bestFit="1" customWidth="1"/>
    <col min="17" max="17" width="16" bestFit="1" customWidth="1"/>
    <col min="18" max="18" width="15.875" bestFit="1" customWidth="1"/>
    <col min="19" max="19" width="12.625" bestFit="1" customWidth="1"/>
    <col min="20" max="20" width="9.75" bestFit="1" customWidth="1"/>
    <col min="21" max="21" width="15" customWidth="1"/>
    <col min="22" max="23" width="14.375" bestFit="1" customWidth="1"/>
    <col min="24" max="24" width="45" customWidth="1"/>
    <col min="25" max="25" width="10.5" bestFit="1" customWidth="1"/>
  </cols>
  <sheetData>
    <row r="1" spans="1:25" ht="28.5" customHeight="1">
      <c r="A1" s="18"/>
      <c r="B1" s="18"/>
      <c r="C1" s="18"/>
      <c r="D1" s="18"/>
      <c r="E1" s="14"/>
      <c r="F1" s="14"/>
      <c r="G1" s="14"/>
      <c r="H1" s="14"/>
      <c r="I1" s="14"/>
      <c r="J1" s="14"/>
      <c r="K1" s="14"/>
      <c r="L1" s="14"/>
      <c r="M1" s="14"/>
      <c r="N1" s="14"/>
      <c r="O1" s="14"/>
      <c r="P1" s="14"/>
      <c r="Q1" s="14"/>
      <c r="R1" s="14"/>
      <c r="S1" s="14"/>
      <c r="T1" s="14"/>
      <c r="U1" s="14"/>
      <c r="V1" s="14"/>
      <c r="W1" s="14"/>
      <c r="X1" s="14"/>
      <c r="Y1" s="14"/>
    </row>
    <row r="2" spans="1:25" ht="28.5" customHeight="1">
      <c r="A2" s="18"/>
      <c r="B2" s="18"/>
      <c r="C2" s="18"/>
      <c r="D2" s="18"/>
      <c r="E2" s="14"/>
      <c r="F2" s="14"/>
      <c r="G2" s="14"/>
      <c r="H2" s="14"/>
      <c r="I2" s="14"/>
      <c r="J2" s="14"/>
      <c r="K2" s="14"/>
      <c r="L2" s="14"/>
      <c r="M2" s="14"/>
      <c r="N2" s="14"/>
      <c r="O2" s="14"/>
      <c r="P2" s="14"/>
      <c r="Q2" s="14"/>
      <c r="R2" s="14"/>
      <c r="S2" s="14"/>
      <c r="T2" s="14"/>
      <c r="U2" s="14"/>
      <c r="V2" s="14"/>
      <c r="W2" s="14"/>
      <c r="X2" s="14"/>
      <c r="Y2" s="14"/>
    </row>
    <row r="3" spans="1:25" ht="15" customHeight="1">
      <c r="A3" s="18"/>
      <c r="B3" s="18"/>
      <c r="C3" s="18"/>
      <c r="D3" s="18"/>
      <c r="E3" s="15"/>
      <c r="F3" s="15"/>
      <c r="G3" s="15"/>
      <c r="H3" s="15"/>
      <c r="I3" s="15"/>
      <c r="J3" s="15"/>
      <c r="K3" s="15"/>
      <c r="L3" s="15"/>
      <c r="M3" s="15"/>
      <c r="N3" s="15"/>
      <c r="O3" s="15"/>
      <c r="P3" s="15"/>
      <c r="Q3" s="15"/>
      <c r="R3" s="15"/>
      <c r="S3" s="15"/>
      <c r="T3" s="15"/>
      <c r="U3" s="15"/>
      <c r="V3" s="15"/>
      <c r="W3" s="15"/>
      <c r="X3" s="15"/>
      <c r="Y3" s="15"/>
    </row>
    <row r="4" spans="1:25" ht="15" customHeight="1">
      <c r="A4" s="18"/>
      <c r="B4" s="18"/>
      <c r="C4" s="18"/>
      <c r="D4" s="18"/>
      <c r="E4" s="15"/>
      <c r="F4" s="15"/>
      <c r="G4" s="15"/>
      <c r="H4" s="15"/>
      <c r="I4" s="15"/>
      <c r="J4" s="15"/>
      <c r="K4" s="15"/>
      <c r="L4" s="15"/>
      <c r="M4" s="15"/>
      <c r="N4" s="15"/>
      <c r="O4" s="15"/>
      <c r="P4" s="15"/>
      <c r="Q4" s="15"/>
      <c r="R4" s="15"/>
      <c r="S4" s="15"/>
      <c r="T4" s="15"/>
      <c r="U4" s="15"/>
      <c r="V4" s="15"/>
      <c r="W4" s="15"/>
      <c r="X4" s="15"/>
      <c r="Y4" s="15"/>
    </row>
    <row r="5" spans="1:25">
      <c r="A5" s="18"/>
      <c r="B5" s="18"/>
      <c r="C5" s="18"/>
      <c r="D5" s="18"/>
      <c r="E5" s="44" t="s">
        <v>28</v>
      </c>
      <c r="F5" s="44"/>
      <c r="G5" s="44"/>
      <c r="H5" s="44"/>
      <c r="I5" s="44"/>
      <c r="J5" s="44"/>
      <c r="K5" s="44"/>
      <c r="L5" s="44"/>
      <c r="M5" s="44"/>
      <c r="N5" s="44"/>
      <c r="O5" s="44"/>
      <c r="P5" s="44"/>
      <c r="Q5" s="44"/>
      <c r="R5" s="44"/>
      <c r="S5" s="44"/>
      <c r="T5" s="44"/>
      <c r="U5" s="44"/>
      <c r="V5" s="44"/>
      <c r="W5" s="44"/>
      <c r="X5" s="44"/>
      <c r="Y5" s="44"/>
    </row>
    <row r="6" spans="1:25" ht="45.95" customHeight="1">
      <c r="A6" s="18"/>
      <c r="B6" s="18"/>
      <c r="C6" s="18"/>
      <c r="D6" s="18"/>
      <c r="E6" s="2" t="s">
        <v>29</v>
      </c>
      <c r="F6" s="2" t="s">
        <v>30</v>
      </c>
      <c r="G6" s="2" t="s">
        <v>31</v>
      </c>
      <c r="H6" s="2" t="s">
        <v>32</v>
      </c>
      <c r="I6" s="2" t="s">
        <v>33</v>
      </c>
      <c r="J6" s="2" t="s">
        <v>34</v>
      </c>
      <c r="K6" s="2" t="s">
        <v>35</v>
      </c>
      <c r="L6" s="2" t="s">
        <v>36</v>
      </c>
      <c r="M6" s="2" t="s">
        <v>37</v>
      </c>
      <c r="N6" s="2" t="s">
        <v>38</v>
      </c>
      <c r="O6" s="2" t="s">
        <v>39</v>
      </c>
      <c r="P6" s="2" t="s">
        <v>40</v>
      </c>
      <c r="Q6" s="2" t="s">
        <v>41</v>
      </c>
      <c r="R6" s="2" t="s">
        <v>42</v>
      </c>
      <c r="S6" s="2" t="s">
        <v>43</v>
      </c>
      <c r="T6" s="2" t="s">
        <v>44</v>
      </c>
      <c r="U6" s="2" t="s">
        <v>45</v>
      </c>
      <c r="V6" s="2" t="s">
        <v>46</v>
      </c>
      <c r="W6" s="2" t="s">
        <v>47</v>
      </c>
      <c r="X6" s="2" t="s">
        <v>48</v>
      </c>
      <c r="Y6" s="2" t="s">
        <v>49</v>
      </c>
    </row>
    <row r="7" spans="1:25" ht="228">
      <c r="A7" s="18"/>
      <c r="B7" s="18"/>
      <c r="C7" s="18"/>
      <c r="D7" s="18"/>
      <c r="E7" s="3" t="s">
        <v>50</v>
      </c>
      <c r="F7" s="3" t="s">
        <v>51</v>
      </c>
      <c r="G7" s="3" t="s">
        <v>52</v>
      </c>
      <c r="H7" s="3" t="s">
        <v>53</v>
      </c>
      <c r="I7" s="3" t="s">
        <v>54</v>
      </c>
      <c r="J7" s="3" t="s">
        <v>55</v>
      </c>
      <c r="K7" s="3">
        <v>3</v>
      </c>
      <c r="L7" s="3">
        <v>4</v>
      </c>
      <c r="M7" s="4">
        <f t="shared" ref="M7:M38" si="0">IF(E7="","",IF(OR(K7="",L7=""),"",IF(AND(ISNUMBER(K7),ISNUMBER(L7),K7&gt;=1,K7&lt;=5,L7&gt;=1,L7&lt;=5,MOD(K7,1)=0,MOD(L7,1)=0),K7*L7,"Invalid input")))</f>
        <v>12</v>
      </c>
      <c r="N7" s="4" t="str">
        <f>IF(M7="","",IF(ISNUMBER(M7),IF(M7&lt;'Scoring Methodology'!$F$16,"Low",IF(M7&lt;'Scoring Methodology'!$F$17,"Moderate",IF(M7&lt;'Scoring Methodology'!$F$18,"High","Critical"))),"Invalid input"))</f>
        <v>High</v>
      </c>
      <c r="O7" s="3" t="s">
        <v>56</v>
      </c>
      <c r="P7" s="3" t="s">
        <v>57</v>
      </c>
      <c r="Q7" s="3" t="s">
        <v>58</v>
      </c>
      <c r="R7" s="3" t="s">
        <v>59</v>
      </c>
      <c r="S7" s="3"/>
      <c r="T7" s="3"/>
      <c r="U7" s="3"/>
      <c r="V7" s="4" t="str">
        <f t="shared" ref="V7:V38" si="1">IF(E7="","",IF(OR(T7="",U7=""),"",IF(AND(ISNUMBER(T7),ISNUMBER(U7),T7&gt;=1,T7&lt;=5,U7&gt;=1,U7&lt;=5,MOD(T7,1)=0,MOD(U7,1)=0),T7*U7,"Invalid input")))</f>
        <v/>
      </c>
      <c r="W7" s="4" t="str">
        <f>IF(V7="","",IF(ISNUMBER(V7),IF(V7&lt;'Scoring Methodology'!$F$16,"Low",IF(V7&lt;'Scoring Methodology'!$F$17,"Moderate",IF(V7&lt;'Scoring Methodology'!$F$18,"High","Critical"))),"Invalid input"))</f>
        <v/>
      </c>
      <c r="X7" s="3" t="s">
        <v>60</v>
      </c>
      <c r="Y7" s="4">
        <f>IF(E7="",0,IF(AND(OR(Dashboard!$L$7="All",Q7=Dashboard!$L$7),OR(Dashboard!$T$7="All",N7=Dashboard!$T$7)),1,0))</f>
        <v>1</v>
      </c>
    </row>
    <row r="8" spans="1:25" ht="213.75">
      <c r="A8" s="18"/>
      <c r="B8" s="18"/>
      <c r="C8" s="18"/>
      <c r="D8" s="18"/>
      <c r="E8" s="3" t="s">
        <v>61</v>
      </c>
      <c r="F8" s="3" t="s">
        <v>62</v>
      </c>
      <c r="G8" s="3" t="s">
        <v>63</v>
      </c>
      <c r="H8" s="3" t="s">
        <v>64</v>
      </c>
      <c r="I8" s="3" t="s">
        <v>65</v>
      </c>
      <c r="J8" s="3" t="s">
        <v>55</v>
      </c>
      <c r="K8" s="3">
        <v>3</v>
      </c>
      <c r="L8" s="3">
        <v>4</v>
      </c>
      <c r="M8" s="4">
        <f t="shared" si="0"/>
        <v>12</v>
      </c>
      <c r="N8" s="4" t="str">
        <f>IF(M8="","",IF(ISNUMBER(M8),IF(M8&lt;'Scoring Methodology'!$F$16,"Low",IF(M8&lt;'Scoring Methodology'!$F$17,"Moderate",IF(M8&lt;'Scoring Methodology'!$F$18,"High","Critical"))),"Invalid input"))</f>
        <v>High</v>
      </c>
      <c r="O8" s="3" t="s">
        <v>66</v>
      </c>
      <c r="P8" s="3" t="s">
        <v>57</v>
      </c>
      <c r="Q8" s="3" t="s">
        <v>58</v>
      </c>
      <c r="R8" s="3" t="s">
        <v>59</v>
      </c>
      <c r="S8" s="3"/>
      <c r="T8" s="3"/>
      <c r="U8" s="3"/>
      <c r="V8" s="4" t="str">
        <f t="shared" si="1"/>
        <v/>
      </c>
      <c r="W8" s="4" t="str">
        <f>IF(V8="","",IF(ISNUMBER(V8),IF(V8&lt;'Scoring Methodology'!$F$16,"Low",IF(V8&lt;'Scoring Methodology'!$F$17,"Moderate",IF(V8&lt;'Scoring Methodology'!$F$18,"High","Critical"))),"Invalid input"))</f>
        <v/>
      </c>
      <c r="X8" s="24" t="s">
        <v>67</v>
      </c>
      <c r="Y8" s="4">
        <f>IF(E8="",0,IF(AND(OR(Dashboard!$L$7="All",Q8=Dashboard!$L$7),OR(Dashboard!$T$7="All",N8=Dashboard!$T$7)),1,0))</f>
        <v>1</v>
      </c>
    </row>
    <row r="9" spans="1:25" ht="256.5">
      <c r="A9" s="18"/>
      <c r="B9" s="18"/>
      <c r="C9" s="18"/>
      <c r="D9" s="18"/>
      <c r="E9" s="3" t="s">
        <v>201</v>
      </c>
      <c r="F9" s="3" t="s">
        <v>202</v>
      </c>
      <c r="G9" s="24" t="s">
        <v>204</v>
      </c>
      <c r="H9" s="24" t="s">
        <v>205</v>
      </c>
      <c r="I9" s="24" t="s">
        <v>207</v>
      </c>
      <c r="J9" s="3" t="s">
        <v>55</v>
      </c>
      <c r="K9" s="3">
        <v>3</v>
      </c>
      <c r="L9" s="3">
        <v>4</v>
      </c>
      <c r="M9" s="4">
        <f t="shared" si="0"/>
        <v>12</v>
      </c>
      <c r="N9" s="4" t="str">
        <f>IF(M9="","",IF(ISNUMBER(M9),IF(M9&lt;'Scoring Methodology'!$F$16,"Low",IF(M9&lt;'Scoring Methodology'!$F$17,"Moderate",IF(M9&lt;'Scoring Methodology'!$F$18,"High","Critical"))),"Invalid input"))</f>
        <v>High</v>
      </c>
      <c r="O9" s="3" t="s">
        <v>208</v>
      </c>
      <c r="P9" s="3" t="s">
        <v>57</v>
      </c>
      <c r="Q9" s="3" t="s">
        <v>58</v>
      </c>
      <c r="R9" s="3" t="s">
        <v>59</v>
      </c>
      <c r="S9" s="3"/>
      <c r="T9" s="3"/>
      <c r="U9" s="3"/>
      <c r="V9" s="4" t="str">
        <f t="shared" si="1"/>
        <v/>
      </c>
      <c r="W9" s="4" t="str">
        <f>IF(V9="","",IF(ISNUMBER(V9),IF(V9&lt;'Scoring Methodology'!$F$16,"Low",IF(V9&lt;'Scoring Methodology'!$F$17,"Moderate",IF(V9&lt;'Scoring Methodology'!$F$18,"High","Critical"))),"Invalid input"))</f>
        <v/>
      </c>
      <c r="X9" s="24" t="s">
        <v>203</v>
      </c>
      <c r="Y9" s="4">
        <f>IF(E9="",0,IF(AND(OR(Dashboard!$L$7="All",Q9=Dashboard!$L$7),OR(Dashboard!$T$7="All",N9=Dashboard!$T$7)),1,0))</f>
        <v>1</v>
      </c>
    </row>
    <row r="10" spans="1:25" ht="26.1" customHeight="1">
      <c r="A10" s="18"/>
      <c r="B10" s="18"/>
      <c r="C10" s="18"/>
      <c r="D10" s="18"/>
      <c r="E10" s="3"/>
      <c r="F10" s="3"/>
      <c r="G10" s="3"/>
      <c r="H10" s="3"/>
      <c r="I10" s="3"/>
      <c r="J10" s="3"/>
      <c r="K10" s="3"/>
      <c r="L10" s="3"/>
      <c r="M10" s="4" t="str">
        <f t="shared" si="0"/>
        <v/>
      </c>
      <c r="N10" s="4" t="str">
        <f>IF(M10="","",IF(ISNUMBER(M10),IF(M10&lt;'Scoring Methodology'!$F$16,"Low",IF(M10&lt;'Scoring Methodology'!$F$17,"Moderate",IF(M10&lt;'Scoring Methodology'!$F$18,"High","Critical"))),"Invalid input"))</f>
        <v/>
      </c>
      <c r="O10" s="3"/>
      <c r="P10" s="3"/>
      <c r="Q10" s="3"/>
      <c r="R10" s="3"/>
      <c r="S10" s="3"/>
      <c r="T10" s="3"/>
      <c r="U10" s="3"/>
      <c r="V10" s="4" t="str">
        <f t="shared" si="1"/>
        <v/>
      </c>
      <c r="W10" s="4" t="str">
        <f>IF(V10="","",IF(ISNUMBER(V10),IF(V10&lt;'Scoring Methodology'!$F$16,"Low",IF(V10&lt;'Scoring Methodology'!$F$17,"Moderate",IF(V10&lt;'Scoring Methodology'!$F$18,"High","Critical"))),"Invalid input"))</f>
        <v/>
      </c>
      <c r="X10" s="3"/>
      <c r="Y10" s="4">
        <f>IF(E10="",0,IF(AND(OR(Dashboard!$L$7="All",Q10=Dashboard!$L$7),OR(Dashboard!$T$7="All",N10=Dashboard!$T$7)),1,0))</f>
        <v>0</v>
      </c>
    </row>
    <row r="11" spans="1:25" ht="26.1" customHeight="1">
      <c r="A11" s="18"/>
      <c r="B11" s="18"/>
      <c r="C11" s="18"/>
      <c r="D11" s="18"/>
      <c r="E11" s="3"/>
      <c r="F11" s="3"/>
      <c r="G11" s="3"/>
      <c r="H11" s="3"/>
      <c r="I11" s="3"/>
      <c r="J11" s="3"/>
      <c r="K11" s="3"/>
      <c r="L11" s="3"/>
      <c r="M11" s="4" t="str">
        <f t="shared" si="0"/>
        <v/>
      </c>
      <c r="N11" s="4" t="str">
        <f>IF(M11="","",IF(ISNUMBER(M11),IF(M11&lt;'Scoring Methodology'!$F$16,"Low",IF(M11&lt;'Scoring Methodology'!$F$17,"Moderate",IF(M11&lt;'Scoring Methodology'!$F$18,"High","Critical"))),"Invalid input"))</f>
        <v/>
      </c>
      <c r="O11" s="3"/>
      <c r="P11" s="3"/>
      <c r="Q11" s="3"/>
      <c r="R11" s="3"/>
      <c r="S11" s="3"/>
      <c r="T11" s="3"/>
      <c r="U11" s="3"/>
      <c r="V11" s="4" t="str">
        <f t="shared" si="1"/>
        <v/>
      </c>
      <c r="W11" s="4" t="str">
        <f>IF(V11="","",IF(ISNUMBER(V11),IF(V11&lt;'Scoring Methodology'!$F$16,"Low",IF(V11&lt;'Scoring Methodology'!$F$17,"Moderate",IF(V11&lt;'Scoring Methodology'!$F$18,"High","Critical"))),"Invalid input"))</f>
        <v/>
      </c>
      <c r="X11" s="3"/>
      <c r="Y11" s="4">
        <f>IF(E11="",0,IF(AND(OR(Dashboard!$L$7="All",Q11=Dashboard!$L$7),OR(Dashboard!$T$7="All",N11=Dashboard!$T$7)),1,0))</f>
        <v>0</v>
      </c>
    </row>
    <row r="12" spans="1:25" ht="26.1" customHeight="1">
      <c r="A12" s="18"/>
      <c r="B12" s="18"/>
      <c r="C12" s="18"/>
      <c r="D12" s="18"/>
      <c r="E12" s="3"/>
      <c r="F12" s="3"/>
      <c r="G12" s="3"/>
      <c r="H12" s="24"/>
      <c r="I12" s="3"/>
      <c r="J12" s="3"/>
      <c r="K12" s="3"/>
      <c r="L12" s="3"/>
      <c r="M12" s="4" t="str">
        <f t="shared" si="0"/>
        <v/>
      </c>
      <c r="N12" s="4" t="str">
        <f>IF(M12="","",IF(ISNUMBER(M12),IF(M12&lt;'Scoring Methodology'!$F$16,"Low",IF(M12&lt;'Scoring Methodology'!$F$17,"Moderate",IF(M12&lt;'Scoring Methodology'!$F$18,"High","Critical"))),"Invalid input"))</f>
        <v/>
      </c>
      <c r="O12" s="3"/>
      <c r="P12" s="3"/>
      <c r="Q12" s="3"/>
      <c r="R12" s="3"/>
      <c r="S12" s="3"/>
      <c r="T12" s="3"/>
      <c r="U12" s="3"/>
      <c r="V12" s="4" t="str">
        <f t="shared" si="1"/>
        <v/>
      </c>
      <c r="W12" s="4" t="str">
        <f>IF(V12="","",IF(ISNUMBER(V12),IF(V12&lt;'Scoring Methodology'!$F$16,"Low",IF(V12&lt;'Scoring Methodology'!$F$17,"Moderate",IF(V12&lt;'Scoring Methodology'!$F$18,"High","Critical"))),"Invalid input"))</f>
        <v/>
      </c>
      <c r="X12" s="24"/>
      <c r="Y12" s="4">
        <f>IF(E12="",0,IF(AND(OR(Dashboard!$L$7="All",Q12=Dashboard!$L$7),OR(Dashboard!$T$7="All",N12=Dashboard!$T$7)),1,0))</f>
        <v>0</v>
      </c>
    </row>
    <row r="13" spans="1:25" ht="26.1" customHeight="1">
      <c r="A13" s="18"/>
      <c r="B13" s="18"/>
      <c r="C13" s="18"/>
      <c r="D13" s="18"/>
      <c r="E13" s="3"/>
      <c r="F13" s="3"/>
      <c r="G13" s="3"/>
      <c r="H13" s="3"/>
      <c r="I13" s="3"/>
      <c r="J13" s="3"/>
      <c r="K13" s="3"/>
      <c r="L13" s="3"/>
      <c r="M13" s="4" t="str">
        <f t="shared" si="0"/>
        <v/>
      </c>
      <c r="N13" s="4" t="str">
        <f>IF(M13="","",IF(ISNUMBER(M13),IF(M13&lt;'Scoring Methodology'!$F$16,"Low",IF(M13&lt;'Scoring Methodology'!$F$17,"Moderate",IF(M13&lt;'Scoring Methodology'!$F$18,"High","Critical"))),"Invalid input"))</f>
        <v/>
      </c>
      <c r="O13" s="3"/>
      <c r="P13" s="3"/>
      <c r="Q13" s="3"/>
      <c r="R13" s="3"/>
      <c r="S13" s="3"/>
      <c r="T13" s="3"/>
      <c r="U13" s="3"/>
      <c r="V13" s="4" t="str">
        <f t="shared" si="1"/>
        <v/>
      </c>
      <c r="W13" s="4" t="str">
        <f>IF(V13="","",IF(ISNUMBER(V13),IF(V13&lt;'Scoring Methodology'!$F$16,"Low",IF(V13&lt;'Scoring Methodology'!$F$17,"Moderate",IF(V13&lt;'Scoring Methodology'!$F$18,"High","Critical"))),"Invalid input"))</f>
        <v/>
      </c>
      <c r="X13" s="3"/>
      <c r="Y13" s="4">
        <f>IF(E13="",0,IF(AND(OR(Dashboard!$L$7="All",Q13=Dashboard!$L$7),OR(Dashboard!$T$7="All",N13=Dashboard!$T$7)),1,0))</f>
        <v>0</v>
      </c>
    </row>
    <row r="14" spans="1:25" ht="26.1" customHeight="1">
      <c r="A14" s="18"/>
      <c r="B14" s="18"/>
      <c r="C14" s="18"/>
      <c r="D14" s="18"/>
      <c r="E14" s="3"/>
      <c r="F14" s="3"/>
      <c r="G14" s="3"/>
      <c r="H14" s="3"/>
      <c r="I14" s="3"/>
      <c r="J14" s="3"/>
      <c r="K14" s="3"/>
      <c r="L14" s="3"/>
      <c r="M14" s="4" t="str">
        <f t="shared" si="0"/>
        <v/>
      </c>
      <c r="N14" s="4" t="str">
        <f>IF(M14="","",IF(ISNUMBER(M14),IF(M14&lt;'Scoring Methodology'!$F$16,"Low",IF(M14&lt;'Scoring Methodology'!$F$17,"Moderate",IF(M14&lt;'Scoring Methodology'!$F$18,"High","Critical"))),"Invalid input"))</f>
        <v/>
      </c>
      <c r="O14" s="3"/>
      <c r="P14" s="3"/>
      <c r="Q14" s="3"/>
      <c r="R14" s="3"/>
      <c r="S14" s="3"/>
      <c r="T14" s="3"/>
      <c r="U14" s="3"/>
      <c r="V14" s="4" t="str">
        <f t="shared" si="1"/>
        <v/>
      </c>
      <c r="W14" s="4" t="str">
        <f>IF(V14="","",IF(ISNUMBER(V14),IF(V14&lt;'Scoring Methodology'!$F$16,"Low",IF(V14&lt;'Scoring Methodology'!$F$17,"Moderate",IF(V14&lt;'Scoring Methodology'!$F$18,"High","Critical"))),"Invalid input"))</f>
        <v/>
      </c>
      <c r="X14" s="3"/>
      <c r="Y14" s="4">
        <f>IF(E14="",0,IF(AND(OR(Dashboard!$L$7="All",Q14=Dashboard!$L$7),OR(Dashboard!$T$7="All",N14=Dashboard!$T$7)),1,0))</f>
        <v>0</v>
      </c>
    </row>
    <row r="15" spans="1:25" ht="26.1" customHeight="1">
      <c r="A15" s="18"/>
      <c r="B15" s="18"/>
      <c r="C15" s="18"/>
      <c r="D15" s="18"/>
      <c r="E15" s="3"/>
      <c r="F15" s="3"/>
      <c r="G15" s="3"/>
      <c r="H15" s="24" t="s">
        <v>206</v>
      </c>
      <c r="I15" s="3"/>
      <c r="J15" s="3"/>
      <c r="K15" s="3"/>
      <c r="L15" s="3"/>
      <c r="M15" s="4" t="str">
        <f t="shared" si="0"/>
        <v/>
      </c>
      <c r="N15" s="4" t="str">
        <f>IF(M15="","",IF(ISNUMBER(M15),IF(M15&lt;'Scoring Methodology'!$F$16,"Low",IF(M15&lt;'Scoring Methodology'!$F$17,"Moderate",IF(M15&lt;'Scoring Methodology'!$F$18,"High","Critical"))),"Invalid input"))</f>
        <v/>
      </c>
      <c r="O15" s="3"/>
      <c r="P15" s="3"/>
      <c r="Q15" s="3"/>
      <c r="R15" s="3"/>
      <c r="S15" s="3"/>
      <c r="T15" s="3"/>
      <c r="U15" s="3"/>
      <c r="V15" s="4" t="str">
        <f t="shared" si="1"/>
        <v/>
      </c>
      <c r="W15" s="4" t="str">
        <f>IF(V15="","",IF(ISNUMBER(V15),IF(V15&lt;'Scoring Methodology'!$F$16,"Low",IF(V15&lt;'Scoring Methodology'!$F$17,"Moderate",IF(V15&lt;'Scoring Methodology'!$F$18,"High","Critical"))),"Invalid input"))</f>
        <v/>
      </c>
      <c r="X15" s="3"/>
      <c r="Y15" s="4">
        <f>IF(E15="",0,IF(AND(OR(Dashboard!$L$7="All",Q15=Dashboard!$L$7),OR(Dashboard!$T$7="All",N15=Dashboard!$T$7)),1,0))</f>
        <v>0</v>
      </c>
    </row>
    <row r="16" spans="1:25" ht="26.1" customHeight="1">
      <c r="A16" s="18"/>
      <c r="B16" s="18"/>
      <c r="C16" s="18"/>
      <c r="D16" s="18"/>
      <c r="E16" s="3"/>
      <c r="F16" s="3"/>
      <c r="G16" s="3"/>
      <c r="H16" s="3"/>
      <c r="I16" s="3"/>
      <c r="J16" s="3"/>
      <c r="K16" s="3"/>
      <c r="L16" s="3"/>
      <c r="M16" s="4" t="str">
        <f t="shared" si="0"/>
        <v/>
      </c>
      <c r="N16" s="4" t="str">
        <f>IF(M16="","",IF(ISNUMBER(M16),IF(M16&lt;'Scoring Methodology'!$F$16,"Low",IF(M16&lt;'Scoring Methodology'!$F$17,"Moderate",IF(M16&lt;'Scoring Methodology'!$F$18,"High","Critical"))),"Invalid input"))</f>
        <v/>
      </c>
      <c r="O16" s="3"/>
      <c r="P16" s="3"/>
      <c r="Q16" s="3"/>
      <c r="R16" s="3"/>
      <c r="S16" s="3"/>
      <c r="T16" s="3"/>
      <c r="U16" s="3"/>
      <c r="V16" s="4" t="str">
        <f t="shared" si="1"/>
        <v/>
      </c>
      <c r="W16" s="4" t="str">
        <f>IF(V16="","",IF(ISNUMBER(V16),IF(V16&lt;'Scoring Methodology'!$F$16,"Low",IF(V16&lt;'Scoring Methodology'!$F$17,"Moderate",IF(V16&lt;'Scoring Methodology'!$F$18,"High","Critical"))),"Invalid input"))</f>
        <v/>
      </c>
      <c r="X16" s="3"/>
      <c r="Y16" s="4">
        <f>IF(E16="",0,IF(AND(OR(Dashboard!$L$7="All",Q16=Dashboard!$L$7),OR(Dashboard!$T$7="All",N16=Dashboard!$T$7)),1,0))</f>
        <v>0</v>
      </c>
    </row>
    <row r="17" spans="1:25" ht="26.1" customHeight="1">
      <c r="A17" s="18"/>
      <c r="B17" s="18"/>
      <c r="C17" s="18"/>
      <c r="D17" s="18"/>
      <c r="E17" s="3"/>
      <c r="F17" s="3"/>
      <c r="G17" s="3"/>
      <c r="H17" s="3"/>
      <c r="I17" s="3"/>
      <c r="J17" s="3"/>
      <c r="K17" s="3"/>
      <c r="L17" s="3"/>
      <c r="M17" s="4" t="str">
        <f t="shared" si="0"/>
        <v/>
      </c>
      <c r="N17" s="4" t="str">
        <f>IF(M17="","",IF(ISNUMBER(M17),IF(M17&lt;'Scoring Methodology'!$F$16,"Low",IF(M17&lt;'Scoring Methodology'!$F$17,"Moderate",IF(M17&lt;'Scoring Methodology'!$F$18,"High","Critical"))),"Invalid input"))</f>
        <v/>
      </c>
      <c r="O17" s="3"/>
      <c r="P17" s="3"/>
      <c r="Q17" s="3"/>
      <c r="R17" s="3"/>
      <c r="S17" s="3"/>
      <c r="T17" s="3"/>
      <c r="U17" s="3"/>
      <c r="V17" s="4" t="str">
        <f t="shared" si="1"/>
        <v/>
      </c>
      <c r="W17" s="4" t="str">
        <f>IF(V17="","",IF(ISNUMBER(V17),IF(V17&lt;'Scoring Methodology'!$F$16,"Low",IF(V17&lt;'Scoring Methodology'!$F$17,"Moderate",IF(V17&lt;'Scoring Methodology'!$F$18,"High","Critical"))),"Invalid input"))</f>
        <v/>
      </c>
      <c r="X17" s="3"/>
      <c r="Y17" s="4">
        <f>IF(E17="",0,IF(AND(OR(Dashboard!$L$7="All",Q17=Dashboard!$L$7),OR(Dashboard!$T$7="All",N17=Dashboard!$T$7)),1,0))</f>
        <v>0</v>
      </c>
    </row>
    <row r="18" spans="1:25" ht="26.1" customHeight="1">
      <c r="A18" s="18"/>
      <c r="B18" s="18"/>
      <c r="C18" s="18"/>
      <c r="D18" s="18"/>
      <c r="E18" s="3"/>
      <c r="F18" s="3"/>
      <c r="G18" s="3"/>
      <c r="H18" s="3"/>
      <c r="I18" s="3"/>
      <c r="J18" s="3"/>
      <c r="K18" s="3"/>
      <c r="L18" s="3"/>
      <c r="M18" s="4" t="str">
        <f t="shared" si="0"/>
        <v/>
      </c>
      <c r="N18" s="4" t="str">
        <f>IF(M18="","",IF(ISNUMBER(M18),IF(M18&lt;'Scoring Methodology'!$F$16,"Low",IF(M18&lt;'Scoring Methodology'!$F$17,"Moderate",IF(M18&lt;'Scoring Methodology'!$F$18,"High","Critical"))),"Invalid input"))</f>
        <v/>
      </c>
      <c r="O18" s="3"/>
      <c r="P18" s="3"/>
      <c r="Q18" s="3"/>
      <c r="R18" s="3"/>
      <c r="S18" s="3"/>
      <c r="T18" s="3"/>
      <c r="U18" s="3"/>
      <c r="V18" s="4" t="str">
        <f t="shared" si="1"/>
        <v/>
      </c>
      <c r="W18" s="4" t="str">
        <f>IF(V18="","",IF(ISNUMBER(V18),IF(V18&lt;'Scoring Methodology'!$F$16,"Low",IF(V18&lt;'Scoring Methodology'!$F$17,"Moderate",IF(V18&lt;'Scoring Methodology'!$F$18,"High","Critical"))),"Invalid input"))</f>
        <v/>
      </c>
      <c r="X18" s="3"/>
      <c r="Y18" s="4">
        <f>IF(E18="",0,IF(AND(OR(Dashboard!$L$7="All",Q18=Dashboard!$L$7),OR(Dashboard!$T$7="All",N18=Dashboard!$T$7)),1,0))</f>
        <v>0</v>
      </c>
    </row>
    <row r="19" spans="1:25" ht="26.1" customHeight="1">
      <c r="A19" s="18"/>
      <c r="B19" s="18"/>
      <c r="C19" s="18"/>
      <c r="D19" s="18"/>
      <c r="E19" s="3"/>
      <c r="F19" s="3"/>
      <c r="G19" s="3"/>
      <c r="H19" s="3"/>
      <c r="I19" s="3"/>
      <c r="J19" s="3"/>
      <c r="K19" s="3"/>
      <c r="L19" s="3"/>
      <c r="M19" s="4" t="str">
        <f t="shared" si="0"/>
        <v/>
      </c>
      <c r="N19" s="4" t="str">
        <f>IF(M19="","",IF(ISNUMBER(M19),IF(M19&lt;'Scoring Methodology'!$F$16,"Low",IF(M19&lt;'Scoring Methodology'!$F$17,"Moderate",IF(M19&lt;'Scoring Methodology'!$F$18,"High","Critical"))),"Invalid input"))</f>
        <v/>
      </c>
      <c r="O19" s="3"/>
      <c r="P19" s="3"/>
      <c r="Q19" s="3"/>
      <c r="R19" s="3"/>
      <c r="S19" s="3"/>
      <c r="T19" s="3"/>
      <c r="U19" s="3"/>
      <c r="V19" s="4" t="str">
        <f t="shared" si="1"/>
        <v/>
      </c>
      <c r="W19" s="4" t="str">
        <f>IF(V19="","",IF(ISNUMBER(V19),IF(V19&lt;'Scoring Methodology'!$F$16,"Low",IF(V19&lt;'Scoring Methodology'!$F$17,"Moderate",IF(V19&lt;'Scoring Methodology'!$F$18,"High","Critical"))),"Invalid input"))</f>
        <v/>
      </c>
      <c r="X19" s="3"/>
      <c r="Y19" s="4">
        <f>IF(E19="",0,IF(AND(OR(Dashboard!$L$7="All",Q19=Dashboard!$L$7),OR(Dashboard!$T$7="All",N19=Dashboard!$T$7)),1,0))</f>
        <v>0</v>
      </c>
    </row>
    <row r="20" spans="1:25" ht="26.1" customHeight="1">
      <c r="A20" s="18"/>
      <c r="B20" s="18"/>
      <c r="C20" s="18"/>
      <c r="D20" s="18"/>
      <c r="E20" s="3"/>
      <c r="F20" s="3"/>
      <c r="G20" s="3"/>
      <c r="H20" s="3"/>
      <c r="I20" s="3"/>
      <c r="J20" s="3"/>
      <c r="K20" s="3"/>
      <c r="L20" s="3"/>
      <c r="M20" s="4" t="str">
        <f t="shared" si="0"/>
        <v/>
      </c>
      <c r="N20" s="4" t="str">
        <f>IF(M20="","",IF(ISNUMBER(M20),IF(M20&lt;'Scoring Methodology'!$F$16,"Low",IF(M20&lt;'Scoring Methodology'!$F$17,"Moderate",IF(M20&lt;'Scoring Methodology'!$F$18,"High","Critical"))),"Invalid input"))</f>
        <v/>
      </c>
      <c r="O20" s="3"/>
      <c r="P20" s="3"/>
      <c r="Q20" s="3"/>
      <c r="R20" s="3"/>
      <c r="S20" s="3"/>
      <c r="T20" s="3"/>
      <c r="U20" s="3"/>
      <c r="V20" s="4" t="str">
        <f t="shared" si="1"/>
        <v/>
      </c>
      <c r="W20" s="4" t="str">
        <f>IF(V20="","",IF(ISNUMBER(V20),IF(V20&lt;'Scoring Methodology'!$F$16,"Low",IF(V20&lt;'Scoring Methodology'!$F$17,"Moderate",IF(V20&lt;'Scoring Methodology'!$F$18,"High","Critical"))),"Invalid input"))</f>
        <v/>
      </c>
      <c r="X20" s="3"/>
      <c r="Y20" s="4">
        <f>IF(E20="",0,IF(AND(OR(Dashboard!$L$7="All",Q20=Dashboard!$L$7),OR(Dashboard!$T$7="All",N20=Dashboard!$T$7)),1,0))</f>
        <v>0</v>
      </c>
    </row>
    <row r="21" spans="1:25" ht="26.1" customHeight="1">
      <c r="A21" s="18"/>
      <c r="B21" s="18"/>
      <c r="C21" s="18"/>
      <c r="D21" s="18"/>
      <c r="E21" s="3"/>
      <c r="F21" s="3"/>
      <c r="G21" s="3"/>
      <c r="H21" s="3"/>
      <c r="I21" s="3"/>
      <c r="J21" s="3"/>
      <c r="K21" s="3"/>
      <c r="L21" s="3"/>
      <c r="M21" s="4" t="str">
        <f t="shared" si="0"/>
        <v/>
      </c>
      <c r="N21" s="4" t="str">
        <f>IF(M21="","",IF(ISNUMBER(M21),IF(M21&lt;'Scoring Methodology'!$F$16,"Low",IF(M21&lt;'Scoring Methodology'!$F$17,"Moderate",IF(M21&lt;'Scoring Methodology'!$F$18,"High","Critical"))),"Invalid input"))</f>
        <v/>
      </c>
      <c r="O21" s="3"/>
      <c r="P21" s="3"/>
      <c r="Q21" s="3"/>
      <c r="R21" s="3"/>
      <c r="S21" s="3"/>
      <c r="T21" s="3"/>
      <c r="U21" s="3"/>
      <c r="V21" s="4" t="str">
        <f t="shared" si="1"/>
        <v/>
      </c>
      <c r="W21" s="4" t="str">
        <f>IF(V21="","",IF(ISNUMBER(V21),IF(V21&lt;'Scoring Methodology'!$F$16,"Low",IF(V21&lt;'Scoring Methodology'!$F$17,"Moderate",IF(V21&lt;'Scoring Methodology'!$F$18,"High","Critical"))),"Invalid input"))</f>
        <v/>
      </c>
      <c r="X21" s="3"/>
      <c r="Y21" s="4">
        <f>IF(E21="",0,IF(AND(OR(Dashboard!$L$7="All",Q21=Dashboard!$L$7),OR(Dashboard!$T$7="All",N21=Dashboard!$T$7)),1,0))</f>
        <v>0</v>
      </c>
    </row>
    <row r="22" spans="1:25" ht="26.1" customHeight="1">
      <c r="A22" s="18"/>
      <c r="B22" s="18"/>
      <c r="C22" s="18"/>
      <c r="D22" s="18"/>
      <c r="E22" s="3"/>
      <c r="F22" s="3"/>
      <c r="G22" s="3"/>
      <c r="H22" s="3"/>
      <c r="I22" s="3"/>
      <c r="J22" s="3"/>
      <c r="K22" s="3"/>
      <c r="L22" s="3"/>
      <c r="M22" s="4" t="str">
        <f t="shared" si="0"/>
        <v/>
      </c>
      <c r="N22" s="4" t="str">
        <f>IF(M22="","",IF(ISNUMBER(M22),IF(M22&lt;'Scoring Methodology'!$F$16,"Low",IF(M22&lt;'Scoring Methodology'!$F$17,"Moderate",IF(M22&lt;'Scoring Methodology'!$F$18,"High","Critical"))),"Invalid input"))</f>
        <v/>
      </c>
      <c r="O22" s="3"/>
      <c r="P22" s="3"/>
      <c r="Q22" s="3"/>
      <c r="R22" s="3"/>
      <c r="S22" s="3"/>
      <c r="T22" s="3"/>
      <c r="U22" s="3"/>
      <c r="V22" s="4" t="str">
        <f t="shared" si="1"/>
        <v/>
      </c>
      <c r="W22" s="4" t="str">
        <f>IF(V22="","",IF(ISNUMBER(V22),IF(V22&lt;'Scoring Methodology'!$F$16,"Low",IF(V22&lt;'Scoring Methodology'!$F$17,"Moderate",IF(V22&lt;'Scoring Methodology'!$F$18,"High","Critical"))),"Invalid input"))</f>
        <v/>
      </c>
      <c r="X22" s="3"/>
      <c r="Y22" s="4">
        <f>IF(E22="",0,IF(AND(OR(Dashboard!$L$7="All",Q22=Dashboard!$L$7),OR(Dashboard!$T$7="All",N22=Dashboard!$T$7)),1,0))</f>
        <v>0</v>
      </c>
    </row>
    <row r="23" spans="1:25" ht="26.1" customHeight="1">
      <c r="A23" s="18"/>
      <c r="B23" s="18"/>
      <c r="C23" s="18"/>
      <c r="D23" s="18"/>
      <c r="E23" s="3"/>
      <c r="F23" s="3"/>
      <c r="G23" s="3"/>
      <c r="H23" s="3"/>
      <c r="I23" s="3"/>
      <c r="J23" s="3"/>
      <c r="K23" s="3"/>
      <c r="L23" s="3"/>
      <c r="M23" s="4" t="str">
        <f t="shared" si="0"/>
        <v/>
      </c>
      <c r="N23" s="4" t="str">
        <f>IF(M23="","",IF(ISNUMBER(M23),IF(M23&lt;'Scoring Methodology'!$F$16,"Low",IF(M23&lt;'Scoring Methodology'!$F$17,"Moderate",IF(M23&lt;'Scoring Methodology'!$F$18,"High","Critical"))),"Invalid input"))</f>
        <v/>
      </c>
      <c r="O23" s="3"/>
      <c r="P23" s="3"/>
      <c r="Q23" s="3"/>
      <c r="R23" s="3"/>
      <c r="S23" s="3"/>
      <c r="T23" s="3"/>
      <c r="U23" s="3"/>
      <c r="V23" s="4" t="str">
        <f t="shared" si="1"/>
        <v/>
      </c>
      <c r="W23" s="4" t="str">
        <f>IF(V23="","",IF(ISNUMBER(V23),IF(V23&lt;'Scoring Methodology'!$F$16,"Low",IF(V23&lt;'Scoring Methodology'!$F$17,"Moderate",IF(V23&lt;'Scoring Methodology'!$F$18,"High","Critical"))),"Invalid input"))</f>
        <v/>
      </c>
      <c r="X23" s="3"/>
      <c r="Y23" s="4">
        <f>IF(E23="",0,IF(AND(OR(Dashboard!$L$7="All",Q23=Dashboard!$L$7),OR(Dashboard!$T$7="All",N23=Dashboard!$T$7)),1,0))</f>
        <v>0</v>
      </c>
    </row>
    <row r="24" spans="1:25" ht="26.1" customHeight="1">
      <c r="A24" s="18"/>
      <c r="B24" s="18"/>
      <c r="C24" s="18"/>
      <c r="D24" s="18"/>
      <c r="E24" s="3"/>
      <c r="F24" s="3"/>
      <c r="G24" s="3"/>
      <c r="H24" s="3"/>
      <c r="I24" s="3"/>
      <c r="J24" s="3"/>
      <c r="K24" s="3"/>
      <c r="L24" s="3"/>
      <c r="M24" s="4" t="str">
        <f t="shared" si="0"/>
        <v/>
      </c>
      <c r="N24" s="4" t="str">
        <f>IF(M24="","",IF(ISNUMBER(M24),IF(M24&lt;'Scoring Methodology'!$F$16,"Low",IF(M24&lt;'Scoring Methodology'!$F$17,"Moderate",IF(M24&lt;'Scoring Methodology'!$F$18,"High","Critical"))),"Invalid input"))</f>
        <v/>
      </c>
      <c r="O24" s="3"/>
      <c r="P24" s="3"/>
      <c r="Q24" s="3"/>
      <c r="R24" s="3"/>
      <c r="S24" s="3"/>
      <c r="T24" s="3"/>
      <c r="U24" s="3"/>
      <c r="V24" s="4" t="str">
        <f t="shared" si="1"/>
        <v/>
      </c>
      <c r="W24" s="4" t="str">
        <f>IF(V24="","",IF(ISNUMBER(V24),IF(V24&lt;'Scoring Methodology'!$F$16,"Low",IF(V24&lt;'Scoring Methodology'!$F$17,"Moderate",IF(V24&lt;'Scoring Methodology'!$F$18,"High","Critical"))),"Invalid input"))</f>
        <v/>
      </c>
      <c r="X24" s="3"/>
      <c r="Y24" s="4">
        <f>IF(E24="",0,IF(AND(OR(Dashboard!$L$7="All",Q24=Dashboard!$L$7),OR(Dashboard!$T$7="All",N24=Dashboard!$T$7)),1,0))</f>
        <v>0</v>
      </c>
    </row>
    <row r="25" spans="1:25" ht="26.1" customHeight="1">
      <c r="A25" s="18"/>
      <c r="B25" s="18"/>
      <c r="C25" s="18"/>
      <c r="D25" s="18"/>
      <c r="E25" s="3"/>
      <c r="F25" s="3"/>
      <c r="G25" s="3"/>
      <c r="H25" s="3"/>
      <c r="I25" s="3"/>
      <c r="J25" s="3"/>
      <c r="K25" s="3"/>
      <c r="L25" s="3"/>
      <c r="M25" s="4" t="str">
        <f t="shared" si="0"/>
        <v/>
      </c>
      <c r="N25" s="4" t="str">
        <f>IF(M25="","",IF(ISNUMBER(M25),IF(M25&lt;'Scoring Methodology'!$F$16,"Low",IF(M25&lt;'Scoring Methodology'!$F$17,"Moderate",IF(M25&lt;'Scoring Methodology'!$F$18,"High","Critical"))),"Invalid input"))</f>
        <v/>
      </c>
      <c r="O25" s="3"/>
      <c r="P25" s="3"/>
      <c r="Q25" s="3"/>
      <c r="R25" s="3"/>
      <c r="S25" s="3"/>
      <c r="T25" s="3"/>
      <c r="U25" s="3"/>
      <c r="V25" s="4" t="str">
        <f t="shared" si="1"/>
        <v/>
      </c>
      <c r="W25" s="4" t="str">
        <f>IF(V25="","",IF(ISNUMBER(V25),IF(V25&lt;'Scoring Methodology'!$F$16,"Low",IF(V25&lt;'Scoring Methodology'!$F$17,"Moderate",IF(V25&lt;'Scoring Methodology'!$F$18,"High","Critical"))),"Invalid input"))</f>
        <v/>
      </c>
      <c r="X25" s="3"/>
      <c r="Y25" s="4">
        <f>IF(E25="",0,IF(AND(OR(Dashboard!$L$7="All",Q25=Dashboard!$L$7),OR(Dashboard!$T$7="All",N25=Dashboard!$T$7)),1,0))</f>
        <v>0</v>
      </c>
    </row>
    <row r="26" spans="1:25" ht="26.1" customHeight="1">
      <c r="A26" s="18"/>
      <c r="B26" s="18"/>
      <c r="C26" s="18"/>
      <c r="D26" s="18"/>
      <c r="E26" s="3"/>
      <c r="F26" s="3"/>
      <c r="G26" s="3"/>
      <c r="H26" s="3"/>
      <c r="I26" s="3"/>
      <c r="J26" s="3"/>
      <c r="K26" s="3"/>
      <c r="L26" s="3"/>
      <c r="M26" s="4" t="str">
        <f t="shared" si="0"/>
        <v/>
      </c>
      <c r="N26" s="4" t="str">
        <f>IF(M26="","",IF(ISNUMBER(M26),IF(M26&lt;'Scoring Methodology'!$F$16,"Low",IF(M26&lt;'Scoring Methodology'!$F$17,"Moderate",IF(M26&lt;'Scoring Methodology'!$F$18,"High","Critical"))),"Invalid input"))</f>
        <v/>
      </c>
      <c r="O26" s="3"/>
      <c r="P26" s="3"/>
      <c r="Q26" s="3"/>
      <c r="R26" s="3"/>
      <c r="S26" s="3"/>
      <c r="T26" s="3"/>
      <c r="U26" s="3"/>
      <c r="V26" s="4" t="str">
        <f t="shared" si="1"/>
        <v/>
      </c>
      <c r="W26" s="4" t="str">
        <f>IF(V26="","",IF(ISNUMBER(V26),IF(V26&lt;'Scoring Methodology'!$F$16,"Low",IF(V26&lt;'Scoring Methodology'!$F$17,"Moderate",IF(V26&lt;'Scoring Methodology'!$F$18,"High","Critical"))),"Invalid input"))</f>
        <v/>
      </c>
      <c r="X26" s="3"/>
      <c r="Y26" s="4">
        <f>IF(E26="",0,IF(AND(OR(Dashboard!$L$7="All",Q26=Dashboard!$L$7),OR(Dashboard!$T$7="All",N26=Dashboard!$T$7)),1,0))</f>
        <v>0</v>
      </c>
    </row>
    <row r="27" spans="1:25" ht="26.1" customHeight="1">
      <c r="A27" s="18"/>
      <c r="B27" s="18"/>
      <c r="C27" s="18"/>
      <c r="D27" s="18"/>
      <c r="E27" s="3"/>
      <c r="F27" s="3"/>
      <c r="G27" s="3"/>
      <c r="H27" s="3"/>
      <c r="I27" s="3"/>
      <c r="J27" s="3"/>
      <c r="K27" s="3"/>
      <c r="L27" s="3"/>
      <c r="M27" s="4" t="str">
        <f t="shared" si="0"/>
        <v/>
      </c>
      <c r="N27" s="4" t="str">
        <f>IF(M27="","",IF(ISNUMBER(M27),IF(M27&lt;'Scoring Methodology'!$F$16,"Low",IF(M27&lt;'Scoring Methodology'!$F$17,"Moderate",IF(M27&lt;'Scoring Methodology'!$F$18,"High","Critical"))),"Invalid input"))</f>
        <v/>
      </c>
      <c r="O27" s="3"/>
      <c r="P27" s="3"/>
      <c r="Q27" s="3"/>
      <c r="R27" s="3"/>
      <c r="S27" s="3"/>
      <c r="T27" s="3"/>
      <c r="U27" s="3"/>
      <c r="V27" s="4" t="str">
        <f t="shared" si="1"/>
        <v/>
      </c>
      <c r="W27" s="4" t="str">
        <f>IF(V27="","",IF(ISNUMBER(V27),IF(V27&lt;'Scoring Methodology'!$F$16,"Low",IF(V27&lt;'Scoring Methodology'!$F$17,"Moderate",IF(V27&lt;'Scoring Methodology'!$F$18,"High","Critical"))),"Invalid input"))</f>
        <v/>
      </c>
      <c r="X27" s="3"/>
      <c r="Y27" s="4">
        <f>IF(E27="",0,IF(AND(OR(Dashboard!$L$7="All",Q27=Dashboard!$L$7),OR(Dashboard!$T$7="All",N27=Dashboard!$T$7)),1,0))</f>
        <v>0</v>
      </c>
    </row>
    <row r="28" spans="1:25" ht="26.1" customHeight="1">
      <c r="A28" s="18"/>
      <c r="B28" s="18"/>
      <c r="C28" s="18"/>
      <c r="D28" s="18"/>
      <c r="E28" s="3"/>
      <c r="F28" s="3"/>
      <c r="G28" s="3"/>
      <c r="H28" s="3"/>
      <c r="I28" s="3"/>
      <c r="J28" s="3"/>
      <c r="K28" s="3"/>
      <c r="L28" s="3"/>
      <c r="M28" s="4" t="str">
        <f t="shared" si="0"/>
        <v/>
      </c>
      <c r="N28" s="4" t="str">
        <f>IF(M28="","",IF(ISNUMBER(M28),IF(M28&lt;'Scoring Methodology'!$F$16,"Low",IF(M28&lt;'Scoring Methodology'!$F$17,"Moderate",IF(M28&lt;'Scoring Methodology'!$F$18,"High","Critical"))),"Invalid input"))</f>
        <v/>
      </c>
      <c r="O28" s="3"/>
      <c r="P28" s="3"/>
      <c r="Q28" s="3"/>
      <c r="R28" s="3"/>
      <c r="S28" s="3"/>
      <c r="T28" s="3"/>
      <c r="U28" s="3"/>
      <c r="V28" s="4" t="str">
        <f t="shared" si="1"/>
        <v/>
      </c>
      <c r="W28" s="4" t="str">
        <f>IF(V28="","",IF(ISNUMBER(V28),IF(V28&lt;'Scoring Methodology'!$F$16,"Low",IF(V28&lt;'Scoring Methodology'!$F$17,"Moderate",IF(V28&lt;'Scoring Methodology'!$F$18,"High","Critical"))),"Invalid input"))</f>
        <v/>
      </c>
      <c r="X28" s="3"/>
      <c r="Y28" s="4">
        <f>IF(E28="",0,IF(AND(OR(Dashboard!$L$7="All",Q28=Dashboard!$L$7),OR(Dashboard!$T$7="All",N28=Dashboard!$T$7)),1,0))</f>
        <v>0</v>
      </c>
    </row>
    <row r="29" spans="1:25" ht="26.1" customHeight="1">
      <c r="A29" s="18"/>
      <c r="B29" s="18"/>
      <c r="C29" s="18"/>
      <c r="D29" s="18"/>
      <c r="E29" s="3"/>
      <c r="F29" s="3"/>
      <c r="G29" s="3"/>
      <c r="H29" s="3"/>
      <c r="I29" s="3"/>
      <c r="J29" s="3"/>
      <c r="K29" s="3"/>
      <c r="L29" s="3"/>
      <c r="M29" s="4" t="str">
        <f t="shared" si="0"/>
        <v/>
      </c>
      <c r="N29" s="4" t="str">
        <f>IF(M29="","",IF(ISNUMBER(M29),IF(M29&lt;'Scoring Methodology'!$F$16,"Low",IF(M29&lt;'Scoring Methodology'!$F$17,"Moderate",IF(M29&lt;'Scoring Methodology'!$F$18,"High","Critical"))),"Invalid input"))</f>
        <v/>
      </c>
      <c r="O29" s="3"/>
      <c r="P29" s="3"/>
      <c r="Q29" s="3"/>
      <c r="R29" s="3"/>
      <c r="S29" s="3"/>
      <c r="T29" s="3"/>
      <c r="U29" s="3"/>
      <c r="V29" s="4" t="str">
        <f t="shared" si="1"/>
        <v/>
      </c>
      <c r="W29" s="4" t="str">
        <f>IF(V29="","",IF(ISNUMBER(V29),IF(V29&lt;'Scoring Methodology'!$F$16,"Low",IF(V29&lt;'Scoring Methodology'!$F$17,"Moderate",IF(V29&lt;'Scoring Methodology'!$F$18,"High","Critical"))),"Invalid input"))</f>
        <v/>
      </c>
      <c r="X29" s="3"/>
      <c r="Y29" s="4">
        <f>IF(E29="",0,IF(AND(OR(Dashboard!$L$7="All",Q29=Dashboard!$L$7),OR(Dashboard!$T$7="All",N29=Dashboard!$T$7)),1,0))</f>
        <v>0</v>
      </c>
    </row>
    <row r="30" spans="1:25" ht="26.1" customHeight="1">
      <c r="A30" s="18"/>
      <c r="B30" s="18"/>
      <c r="C30" s="18"/>
      <c r="D30" s="18"/>
      <c r="E30" s="3"/>
      <c r="F30" s="3"/>
      <c r="G30" s="3"/>
      <c r="H30" s="3"/>
      <c r="I30" s="3"/>
      <c r="J30" s="3"/>
      <c r="K30" s="3"/>
      <c r="L30" s="3"/>
      <c r="M30" s="4" t="str">
        <f t="shared" si="0"/>
        <v/>
      </c>
      <c r="N30" s="4" t="str">
        <f>IF(M30="","",IF(ISNUMBER(M30),IF(M30&lt;'Scoring Methodology'!$F$16,"Low",IF(M30&lt;'Scoring Methodology'!$F$17,"Moderate",IF(M30&lt;'Scoring Methodology'!$F$18,"High","Critical"))),"Invalid input"))</f>
        <v/>
      </c>
      <c r="O30" s="3"/>
      <c r="P30" s="3"/>
      <c r="Q30" s="3"/>
      <c r="R30" s="3"/>
      <c r="S30" s="3"/>
      <c r="T30" s="3"/>
      <c r="U30" s="3"/>
      <c r="V30" s="4" t="str">
        <f t="shared" si="1"/>
        <v/>
      </c>
      <c r="W30" s="4" t="str">
        <f>IF(V30="","",IF(ISNUMBER(V30),IF(V30&lt;'Scoring Methodology'!$F$16,"Low",IF(V30&lt;'Scoring Methodology'!$F$17,"Moderate",IF(V30&lt;'Scoring Methodology'!$F$18,"High","Critical"))),"Invalid input"))</f>
        <v/>
      </c>
      <c r="X30" s="3"/>
      <c r="Y30" s="4">
        <f>IF(E30="",0,IF(AND(OR(Dashboard!$L$7="All",Q30=Dashboard!$L$7),OR(Dashboard!$T$7="All",N30=Dashboard!$T$7)),1,0))</f>
        <v>0</v>
      </c>
    </row>
    <row r="31" spans="1:25" ht="26.1" customHeight="1">
      <c r="A31" s="18"/>
      <c r="B31" s="18"/>
      <c r="C31" s="18"/>
      <c r="D31" s="18"/>
      <c r="E31" s="3"/>
      <c r="F31" s="3"/>
      <c r="G31" s="3"/>
      <c r="H31" s="3"/>
      <c r="I31" s="3"/>
      <c r="J31" s="3"/>
      <c r="K31" s="3"/>
      <c r="L31" s="3"/>
      <c r="M31" s="4" t="str">
        <f t="shared" si="0"/>
        <v/>
      </c>
      <c r="N31" s="4" t="str">
        <f>IF(M31="","",IF(ISNUMBER(M31),IF(M31&lt;'Scoring Methodology'!$F$16,"Low",IF(M31&lt;'Scoring Methodology'!$F$17,"Moderate",IF(M31&lt;'Scoring Methodology'!$F$18,"High","Critical"))),"Invalid input"))</f>
        <v/>
      </c>
      <c r="O31" s="3"/>
      <c r="P31" s="3"/>
      <c r="Q31" s="3"/>
      <c r="R31" s="3"/>
      <c r="S31" s="3"/>
      <c r="T31" s="3"/>
      <c r="U31" s="3"/>
      <c r="V31" s="4" t="str">
        <f t="shared" si="1"/>
        <v/>
      </c>
      <c r="W31" s="4" t="str">
        <f>IF(V31="","",IF(ISNUMBER(V31),IF(V31&lt;'Scoring Methodology'!$F$16,"Low",IF(V31&lt;'Scoring Methodology'!$F$17,"Moderate",IF(V31&lt;'Scoring Methodology'!$F$18,"High","Critical"))),"Invalid input"))</f>
        <v/>
      </c>
      <c r="X31" s="3"/>
      <c r="Y31" s="4">
        <f>IF(E31="",0,IF(AND(OR(Dashboard!$L$7="All",Q31=Dashboard!$L$7),OR(Dashboard!$T$7="All",N31=Dashboard!$T$7)),1,0))</f>
        <v>0</v>
      </c>
    </row>
    <row r="32" spans="1:25" ht="26.1" customHeight="1">
      <c r="A32" s="18"/>
      <c r="B32" s="18"/>
      <c r="C32" s="18"/>
      <c r="D32" s="18"/>
      <c r="E32" s="3"/>
      <c r="F32" s="3"/>
      <c r="G32" s="3"/>
      <c r="H32" s="3"/>
      <c r="I32" s="3"/>
      <c r="J32" s="3"/>
      <c r="K32" s="3"/>
      <c r="L32" s="3"/>
      <c r="M32" s="4" t="str">
        <f t="shared" si="0"/>
        <v/>
      </c>
      <c r="N32" s="4" t="str">
        <f>IF(M32="","",IF(ISNUMBER(M32),IF(M32&lt;'Scoring Methodology'!$F$16,"Low",IF(M32&lt;'Scoring Methodology'!$F$17,"Moderate",IF(M32&lt;'Scoring Methodology'!$F$18,"High","Critical"))),"Invalid input"))</f>
        <v/>
      </c>
      <c r="O32" s="3"/>
      <c r="P32" s="3"/>
      <c r="Q32" s="3"/>
      <c r="R32" s="3"/>
      <c r="S32" s="3"/>
      <c r="T32" s="3"/>
      <c r="U32" s="3"/>
      <c r="V32" s="4" t="str">
        <f t="shared" si="1"/>
        <v/>
      </c>
      <c r="W32" s="4" t="str">
        <f>IF(V32="","",IF(ISNUMBER(V32),IF(V32&lt;'Scoring Methodology'!$F$16,"Low",IF(V32&lt;'Scoring Methodology'!$F$17,"Moderate",IF(V32&lt;'Scoring Methodology'!$F$18,"High","Critical"))),"Invalid input"))</f>
        <v/>
      </c>
      <c r="X32" s="3"/>
      <c r="Y32" s="4">
        <f>IF(E32="",0,IF(AND(OR(Dashboard!$L$7="All",Q32=Dashboard!$L$7),OR(Dashboard!$T$7="All",N32=Dashboard!$T$7)),1,0))</f>
        <v>0</v>
      </c>
    </row>
    <row r="33" spans="1:25" ht="26.1" customHeight="1">
      <c r="A33" s="18"/>
      <c r="B33" s="18"/>
      <c r="C33" s="18"/>
      <c r="D33" s="18"/>
      <c r="E33" s="3"/>
      <c r="F33" s="3"/>
      <c r="G33" s="3"/>
      <c r="H33" s="3"/>
      <c r="I33" s="3"/>
      <c r="J33" s="3"/>
      <c r="K33" s="3"/>
      <c r="L33" s="3"/>
      <c r="M33" s="4" t="str">
        <f t="shared" si="0"/>
        <v/>
      </c>
      <c r="N33" s="4" t="str">
        <f>IF(M33="","",IF(ISNUMBER(M33),IF(M33&lt;'Scoring Methodology'!$F$16,"Low",IF(M33&lt;'Scoring Methodology'!$F$17,"Moderate",IF(M33&lt;'Scoring Methodology'!$F$18,"High","Critical"))),"Invalid input"))</f>
        <v/>
      </c>
      <c r="O33" s="3"/>
      <c r="P33" s="3"/>
      <c r="Q33" s="3"/>
      <c r="R33" s="3"/>
      <c r="S33" s="3"/>
      <c r="T33" s="3"/>
      <c r="U33" s="3"/>
      <c r="V33" s="4" t="str">
        <f t="shared" si="1"/>
        <v/>
      </c>
      <c r="W33" s="4" t="str">
        <f>IF(V33="","",IF(ISNUMBER(V33),IF(V33&lt;'Scoring Methodology'!$F$16,"Low",IF(V33&lt;'Scoring Methodology'!$F$17,"Moderate",IF(V33&lt;'Scoring Methodology'!$F$18,"High","Critical"))),"Invalid input"))</f>
        <v/>
      </c>
      <c r="X33" s="3"/>
      <c r="Y33" s="4">
        <f>IF(E33="",0,IF(AND(OR(Dashboard!$L$7="All",Q33=Dashboard!$L$7),OR(Dashboard!$T$7="All",N33=Dashboard!$T$7)),1,0))</f>
        <v>0</v>
      </c>
    </row>
    <row r="34" spans="1:25" ht="26.1" customHeight="1">
      <c r="A34" s="18"/>
      <c r="B34" s="18"/>
      <c r="C34" s="18"/>
      <c r="D34" s="18"/>
      <c r="E34" s="3"/>
      <c r="F34" s="3"/>
      <c r="G34" s="3"/>
      <c r="H34" s="3"/>
      <c r="I34" s="3"/>
      <c r="J34" s="3"/>
      <c r="K34" s="3"/>
      <c r="L34" s="3"/>
      <c r="M34" s="4" t="str">
        <f t="shared" si="0"/>
        <v/>
      </c>
      <c r="N34" s="4" t="str">
        <f>IF(M34="","",IF(ISNUMBER(M34),IF(M34&lt;'Scoring Methodology'!$F$16,"Low",IF(M34&lt;'Scoring Methodology'!$F$17,"Moderate",IF(M34&lt;'Scoring Methodology'!$F$18,"High","Critical"))),"Invalid input"))</f>
        <v/>
      </c>
      <c r="O34" s="3"/>
      <c r="P34" s="3"/>
      <c r="Q34" s="3"/>
      <c r="R34" s="3"/>
      <c r="S34" s="3"/>
      <c r="T34" s="3"/>
      <c r="U34" s="3"/>
      <c r="V34" s="4" t="str">
        <f t="shared" si="1"/>
        <v/>
      </c>
      <c r="W34" s="4" t="str">
        <f>IF(V34="","",IF(ISNUMBER(V34),IF(V34&lt;'Scoring Methodology'!$F$16,"Low",IF(V34&lt;'Scoring Methodology'!$F$17,"Moderate",IF(V34&lt;'Scoring Methodology'!$F$18,"High","Critical"))),"Invalid input"))</f>
        <v/>
      </c>
      <c r="X34" s="3"/>
      <c r="Y34" s="4">
        <f>IF(E34="",0,IF(AND(OR(Dashboard!$L$7="All",Q34=Dashboard!$L$7),OR(Dashboard!$T$7="All",N34=Dashboard!$T$7)),1,0))</f>
        <v>0</v>
      </c>
    </row>
    <row r="35" spans="1:25" ht="26.1" customHeight="1">
      <c r="A35" s="18"/>
      <c r="B35" s="18"/>
      <c r="C35" s="18"/>
      <c r="D35" s="18"/>
      <c r="E35" s="3"/>
      <c r="F35" s="3"/>
      <c r="G35" s="3"/>
      <c r="H35" s="3"/>
      <c r="I35" s="3"/>
      <c r="J35" s="3"/>
      <c r="K35" s="3"/>
      <c r="L35" s="3"/>
      <c r="M35" s="4" t="str">
        <f t="shared" si="0"/>
        <v/>
      </c>
      <c r="N35" s="4" t="str">
        <f>IF(M35="","",IF(ISNUMBER(M35),IF(M35&lt;'Scoring Methodology'!$F$16,"Low",IF(M35&lt;'Scoring Methodology'!$F$17,"Moderate",IF(M35&lt;'Scoring Methodology'!$F$18,"High","Critical"))),"Invalid input"))</f>
        <v/>
      </c>
      <c r="O35" s="3"/>
      <c r="P35" s="3"/>
      <c r="Q35" s="3"/>
      <c r="R35" s="3"/>
      <c r="S35" s="3"/>
      <c r="T35" s="3"/>
      <c r="U35" s="3"/>
      <c r="V35" s="4" t="str">
        <f t="shared" si="1"/>
        <v/>
      </c>
      <c r="W35" s="4" t="str">
        <f>IF(V35="","",IF(ISNUMBER(V35),IF(V35&lt;'Scoring Methodology'!$F$16,"Low",IF(V35&lt;'Scoring Methodology'!$F$17,"Moderate",IF(V35&lt;'Scoring Methodology'!$F$18,"High","Critical"))),"Invalid input"))</f>
        <v/>
      </c>
      <c r="X35" s="3"/>
      <c r="Y35" s="4">
        <f>IF(E35="",0,IF(AND(OR(Dashboard!$L$7="All",Q35=Dashboard!$L$7),OR(Dashboard!$T$7="All",N35=Dashboard!$T$7)),1,0))</f>
        <v>0</v>
      </c>
    </row>
    <row r="36" spans="1:25" ht="26.1" customHeight="1">
      <c r="A36" s="18"/>
      <c r="B36" s="18"/>
      <c r="C36" s="18"/>
      <c r="D36" s="18"/>
      <c r="E36" s="3"/>
      <c r="F36" s="3"/>
      <c r="G36" s="3"/>
      <c r="H36" s="3"/>
      <c r="I36" s="3"/>
      <c r="J36" s="3"/>
      <c r="K36" s="3"/>
      <c r="L36" s="3"/>
      <c r="M36" s="4" t="str">
        <f t="shared" si="0"/>
        <v/>
      </c>
      <c r="N36" s="4" t="str">
        <f>IF(M36="","",IF(ISNUMBER(M36),IF(M36&lt;'Scoring Methodology'!$F$16,"Low",IF(M36&lt;'Scoring Methodology'!$F$17,"Moderate",IF(M36&lt;'Scoring Methodology'!$F$18,"High","Critical"))),"Invalid input"))</f>
        <v/>
      </c>
      <c r="O36" s="3"/>
      <c r="P36" s="3"/>
      <c r="Q36" s="3"/>
      <c r="R36" s="3"/>
      <c r="S36" s="3"/>
      <c r="T36" s="3"/>
      <c r="U36" s="3"/>
      <c r="V36" s="4" t="str">
        <f t="shared" si="1"/>
        <v/>
      </c>
      <c r="W36" s="4" t="str">
        <f>IF(V36="","",IF(ISNUMBER(V36),IF(V36&lt;'Scoring Methodology'!$F$16,"Low",IF(V36&lt;'Scoring Methodology'!$F$17,"Moderate",IF(V36&lt;'Scoring Methodology'!$F$18,"High","Critical"))),"Invalid input"))</f>
        <v/>
      </c>
      <c r="X36" s="3"/>
      <c r="Y36" s="4">
        <f>IF(E36="",0,IF(AND(OR(Dashboard!$L$7="All",Q36=Dashboard!$L$7),OR(Dashboard!$T$7="All",N36=Dashboard!$T$7)),1,0))</f>
        <v>0</v>
      </c>
    </row>
    <row r="37" spans="1:25" ht="26.1" customHeight="1">
      <c r="A37" s="18"/>
      <c r="B37" s="18"/>
      <c r="C37" s="18"/>
      <c r="D37" s="18"/>
      <c r="E37" s="3"/>
      <c r="F37" s="3"/>
      <c r="G37" s="3"/>
      <c r="H37" s="3"/>
      <c r="I37" s="3"/>
      <c r="J37" s="3"/>
      <c r="K37" s="3"/>
      <c r="L37" s="3"/>
      <c r="M37" s="4" t="str">
        <f t="shared" si="0"/>
        <v/>
      </c>
      <c r="N37" s="4" t="str">
        <f>IF(M37="","",IF(ISNUMBER(M37),IF(M37&lt;'Scoring Methodology'!$F$16,"Low",IF(M37&lt;'Scoring Methodology'!$F$17,"Moderate",IF(M37&lt;'Scoring Methodology'!$F$18,"High","Critical"))),"Invalid input"))</f>
        <v/>
      </c>
      <c r="O37" s="3"/>
      <c r="P37" s="3"/>
      <c r="Q37" s="3"/>
      <c r="R37" s="3"/>
      <c r="S37" s="3"/>
      <c r="T37" s="3"/>
      <c r="U37" s="3"/>
      <c r="V37" s="4" t="str">
        <f t="shared" si="1"/>
        <v/>
      </c>
      <c r="W37" s="4" t="str">
        <f>IF(V37="","",IF(ISNUMBER(V37),IF(V37&lt;'Scoring Methodology'!$F$16,"Low",IF(V37&lt;'Scoring Methodology'!$F$17,"Moderate",IF(V37&lt;'Scoring Methodology'!$F$18,"High","Critical"))),"Invalid input"))</f>
        <v/>
      </c>
      <c r="X37" s="3"/>
      <c r="Y37" s="4">
        <f>IF(E37="",0,IF(AND(OR(Dashboard!$L$7="All",Q37=Dashboard!$L$7),OR(Dashboard!$T$7="All",N37=Dashboard!$T$7)),1,0))</f>
        <v>0</v>
      </c>
    </row>
    <row r="38" spans="1:25" ht="26.1" customHeight="1">
      <c r="A38" s="18"/>
      <c r="B38" s="18"/>
      <c r="C38" s="18"/>
      <c r="D38" s="18"/>
      <c r="E38" s="3"/>
      <c r="F38" s="3"/>
      <c r="G38" s="3"/>
      <c r="H38" s="3"/>
      <c r="I38" s="3"/>
      <c r="J38" s="3"/>
      <c r="K38" s="3"/>
      <c r="L38" s="3"/>
      <c r="M38" s="4" t="str">
        <f t="shared" si="0"/>
        <v/>
      </c>
      <c r="N38" s="4" t="str">
        <f>IF(M38="","",IF(ISNUMBER(M38),IF(M38&lt;'Scoring Methodology'!$F$16,"Low",IF(M38&lt;'Scoring Methodology'!$F$17,"Moderate",IF(M38&lt;'Scoring Methodology'!$F$18,"High","Critical"))),"Invalid input"))</f>
        <v/>
      </c>
      <c r="O38" s="3"/>
      <c r="P38" s="3"/>
      <c r="Q38" s="3"/>
      <c r="R38" s="3"/>
      <c r="S38" s="3"/>
      <c r="T38" s="3"/>
      <c r="U38" s="3"/>
      <c r="V38" s="4" t="str">
        <f t="shared" si="1"/>
        <v/>
      </c>
      <c r="W38" s="4" t="str">
        <f>IF(V38="","",IF(ISNUMBER(V38),IF(V38&lt;'Scoring Methodology'!$F$16,"Low",IF(V38&lt;'Scoring Methodology'!$F$17,"Moderate",IF(V38&lt;'Scoring Methodology'!$F$18,"High","Critical"))),"Invalid input"))</f>
        <v/>
      </c>
      <c r="X38" s="3"/>
      <c r="Y38" s="4">
        <f>IF(E38="",0,IF(AND(OR(Dashboard!$L$7="All",Q38=Dashboard!$L$7),OR(Dashboard!$T$7="All",N38=Dashboard!$T$7)),1,0))</f>
        <v>0</v>
      </c>
    </row>
    <row r="39" spans="1:25" ht="26.1" customHeight="1">
      <c r="A39" s="18"/>
      <c r="B39" s="18"/>
      <c r="C39" s="18"/>
      <c r="D39" s="18"/>
      <c r="E39" s="3"/>
      <c r="F39" s="3"/>
      <c r="G39" s="3"/>
      <c r="H39" s="3"/>
      <c r="I39" s="3"/>
      <c r="J39" s="3"/>
      <c r="K39" s="3"/>
      <c r="L39" s="3"/>
      <c r="M39" s="4" t="str">
        <f t="shared" ref="M39:M70" si="2">IF(E39="","",IF(OR(K39="",L39=""),"",IF(AND(ISNUMBER(K39),ISNUMBER(L39),K39&gt;=1,K39&lt;=5,L39&gt;=1,L39&lt;=5,MOD(K39,1)=0,MOD(L39,1)=0),K39*L39,"Invalid input")))</f>
        <v/>
      </c>
      <c r="N39" s="4" t="str">
        <f>IF(M39="","",IF(ISNUMBER(M39),IF(M39&lt;'Scoring Methodology'!$F$16,"Low",IF(M39&lt;'Scoring Methodology'!$F$17,"Moderate",IF(M39&lt;'Scoring Methodology'!$F$18,"High","Critical"))),"Invalid input"))</f>
        <v/>
      </c>
      <c r="O39" s="3"/>
      <c r="P39" s="3"/>
      <c r="Q39" s="3"/>
      <c r="R39" s="3"/>
      <c r="S39" s="3"/>
      <c r="T39" s="3"/>
      <c r="U39" s="3"/>
      <c r="V39" s="4" t="str">
        <f t="shared" ref="V39:V70" si="3">IF(E39="","",IF(OR(T39="",U39=""),"",IF(AND(ISNUMBER(T39),ISNUMBER(U39),T39&gt;=1,T39&lt;=5,U39&gt;=1,U39&lt;=5,MOD(T39,1)=0,MOD(U39,1)=0),T39*U39,"Invalid input")))</f>
        <v/>
      </c>
      <c r="W39" s="4" t="str">
        <f>IF(V39="","",IF(ISNUMBER(V39),IF(V39&lt;'Scoring Methodology'!$F$16,"Low",IF(V39&lt;'Scoring Methodology'!$F$17,"Moderate",IF(V39&lt;'Scoring Methodology'!$F$18,"High","Critical"))),"Invalid input"))</f>
        <v/>
      </c>
      <c r="X39" s="3"/>
      <c r="Y39" s="4">
        <f>IF(E39="",0,IF(AND(OR(Dashboard!$L$7="All",Q39=Dashboard!$L$7),OR(Dashboard!$T$7="All",N39=Dashboard!$T$7)),1,0))</f>
        <v>0</v>
      </c>
    </row>
    <row r="40" spans="1:25" ht="26.1" customHeight="1">
      <c r="A40" s="18"/>
      <c r="B40" s="18"/>
      <c r="C40" s="18"/>
      <c r="D40" s="18"/>
      <c r="E40" s="3"/>
      <c r="F40" s="3"/>
      <c r="G40" s="3"/>
      <c r="H40" s="3"/>
      <c r="I40" s="3"/>
      <c r="J40" s="3"/>
      <c r="K40" s="3"/>
      <c r="L40" s="3"/>
      <c r="M40" s="4" t="str">
        <f t="shared" si="2"/>
        <v/>
      </c>
      <c r="N40" s="4" t="str">
        <f>IF(M40="","",IF(ISNUMBER(M40),IF(M40&lt;'Scoring Methodology'!$F$16,"Low",IF(M40&lt;'Scoring Methodology'!$F$17,"Moderate",IF(M40&lt;'Scoring Methodology'!$F$18,"High","Critical"))),"Invalid input"))</f>
        <v/>
      </c>
      <c r="O40" s="3"/>
      <c r="P40" s="3"/>
      <c r="Q40" s="3"/>
      <c r="R40" s="3"/>
      <c r="S40" s="3"/>
      <c r="T40" s="3"/>
      <c r="U40" s="3"/>
      <c r="V40" s="4" t="str">
        <f t="shared" si="3"/>
        <v/>
      </c>
      <c r="W40" s="4" t="str">
        <f>IF(V40="","",IF(ISNUMBER(V40),IF(V40&lt;'Scoring Methodology'!$F$16,"Low",IF(V40&lt;'Scoring Methodology'!$F$17,"Moderate",IF(V40&lt;'Scoring Methodology'!$F$18,"High","Critical"))),"Invalid input"))</f>
        <v/>
      </c>
      <c r="X40" s="3"/>
      <c r="Y40" s="4">
        <f>IF(E40="",0,IF(AND(OR(Dashboard!$L$7="All",Q40=Dashboard!$L$7),OR(Dashboard!$T$7="All",N40=Dashboard!$T$7)),1,0))</f>
        <v>0</v>
      </c>
    </row>
    <row r="41" spans="1:25" ht="26.1" customHeight="1">
      <c r="A41" s="18"/>
      <c r="B41" s="18"/>
      <c r="C41" s="18"/>
      <c r="D41" s="18"/>
      <c r="E41" s="3"/>
      <c r="F41" s="3"/>
      <c r="G41" s="3"/>
      <c r="H41" s="3"/>
      <c r="I41" s="3"/>
      <c r="J41" s="3"/>
      <c r="K41" s="3"/>
      <c r="L41" s="3"/>
      <c r="M41" s="4" t="str">
        <f t="shared" si="2"/>
        <v/>
      </c>
      <c r="N41" s="4" t="str">
        <f>IF(M41="","",IF(ISNUMBER(M41),IF(M41&lt;'Scoring Methodology'!$F$16,"Low",IF(M41&lt;'Scoring Methodology'!$F$17,"Moderate",IF(M41&lt;'Scoring Methodology'!$F$18,"High","Critical"))),"Invalid input"))</f>
        <v/>
      </c>
      <c r="O41" s="3"/>
      <c r="P41" s="3"/>
      <c r="Q41" s="3"/>
      <c r="R41" s="3"/>
      <c r="S41" s="3"/>
      <c r="T41" s="3"/>
      <c r="U41" s="3"/>
      <c r="V41" s="4" t="str">
        <f t="shared" si="3"/>
        <v/>
      </c>
      <c r="W41" s="4" t="str">
        <f>IF(V41="","",IF(ISNUMBER(V41),IF(V41&lt;'Scoring Methodology'!$F$16,"Low",IF(V41&lt;'Scoring Methodology'!$F$17,"Moderate",IF(V41&lt;'Scoring Methodology'!$F$18,"High","Critical"))),"Invalid input"))</f>
        <v/>
      </c>
      <c r="X41" s="3"/>
      <c r="Y41" s="4">
        <f>IF(E41="",0,IF(AND(OR(Dashboard!$L$7="All",Q41=Dashboard!$L$7),OR(Dashboard!$T$7="All",N41=Dashboard!$T$7)),1,0))</f>
        <v>0</v>
      </c>
    </row>
    <row r="42" spans="1:25" ht="26.1" customHeight="1">
      <c r="A42" s="18"/>
      <c r="B42" s="18"/>
      <c r="C42" s="18"/>
      <c r="D42" s="18"/>
      <c r="E42" s="3"/>
      <c r="F42" s="3"/>
      <c r="G42" s="3"/>
      <c r="H42" s="3"/>
      <c r="I42" s="3"/>
      <c r="J42" s="3"/>
      <c r="K42" s="3"/>
      <c r="L42" s="3"/>
      <c r="M42" s="4" t="str">
        <f t="shared" si="2"/>
        <v/>
      </c>
      <c r="N42" s="4" t="str">
        <f>IF(M42="","",IF(ISNUMBER(M42),IF(M42&lt;'Scoring Methodology'!$F$16,"Low",IF(M42&lt;'Scoring Methodology'!$F$17,"Moderate",IF(M42&lt;'Scoring Methodology'!$F$18,"High","Critical"))),"Invalid input"))</f>
        <v/>
      </c>
      <c r="O42" s="3"/>
      <c r="P42" s="3"/>
      <c r="Q42" s="3"/>
      <c r="R42" s="3"/>
      <c r="S42" s="3"/>
      <c r="T42" s="3"/>
      <c r="U42" s="3"/>
      <c r="V42" s="4" t="str">
        <f t="shared" si="3"/>
        <v/>
      </c>
      <c r="W42" s="4" t="str">
        <f>IF(V42="","",IF(ISNUMBER(V42),IF(V42&lt;'Scoring Methodology'!$F$16,"Low",IF(V42&lt;'Scoring Methodology'!$F$17,"Moderate",IF(V42&lt;'Scoring Methodology'!$F$18,"High","Critical"))),"Invalid input"))</f>
        <v/>
      </c>
      <c r="X42" s="3"/>
      <c r="Y42" s="4">
        <f>IF(E42="",0,IF(AND(OR(Dashboard!$L$7="All",Q42=Dashboard!$L$7),OR(Dashboard!$T$7="All",N42=Dashboard!$T$7)),1,0))</f>
        <v>0</v>
      </c>
    </row>
    <row r="43" spans="1:25" ht="26.1" customHeight="1">
      <c r="A43" s="18"/>
      <c r="B43" s="18"/>
      <c r="C43" s="18"/>
      <c r="D43" s="18"/>
      <c r="E43" s="3"/>
      <c r="F43" s="3"/>
      <c r="G43" s="3"/>
      <c r="H43" s="3"/>
      <c r="I43" s="3"/>
      <c r="J43" s="3"/>
      <c r="K43" s="3"/>
      <c r="L43" s="3"/>
      <c r="M43" s="4" t="str">
        <f t="shared" si="2"/>
        <v/>
      </c>
      <c r="N43" s="4" t="str">
        <f>IF(M43="","",IF(ISNUMBER(M43),IF(M43&lt;'Scoring Methodology'!$F$16,"Low",IF(M43&lt;'Scoring Methodology'!$F$17,"Moderate",IF(M43&lt;'Scoring Methodology'!$F$18,"High","Critical"))),"Invalid input"))</f>
        <v/>
      </c>
      <c r="O43" s="3"/>
      <c r="P43" s="3"/>
      <c r="Q43" s="3"/>
      <c r="R43" s="3"/>
      <c r="S43" s="3"/>
      <c r="T43" s="3"/>
      <c r="U43" s="3"/>
      <c r="V43" s="4" t="str">
        <f t="shared" si="3"/>
        <v/>
      </c>
      <c r="W43" s="4" t="str">
        <f>IF(V43="","",IF(ISNUMBER(V43),IF(V43&lt;'Scoring Methodology'!$F$16,"Low",IF(V43&lt;'Scoring Methodology'!$F$17,"Moderate",IF(V43&lt;'Scoring Methodology'!$F$18,"High","Critical"))),"Invalid input"))</f>
        <v/>
      </c>
      <c r="X43" s="3"/>
      <c r="Y43" s="4">
        <f>IF(E43="",0,IF(AND(OR(Dashboard!$L$7="All",Q43=Dashboard!$L$7),OR(Dashboard!$T$7="All",N43=Dashboard!$T$7)),1,0))</f>
        <v>0</v>
      </c>
    </row>
    <row r="44" spans="1:25" ht="26.1" customHeight="1">
      <c r="A44" s="18"/>
      <c r="B44" s="18"/>
      <c r="C44" s="18"/>
      <c r="D44" s="18"/>
      <c r="E44" s="3"/>
      <c r="F44" s="3"/>
      <c r="G44" s="3"/>
      <c r="H44" s="3"/>
      <c r="I44" s="3"/>
      <c r="J44" s="3"/>
      <c r="K44" s="3"/>
      <c r="L44" s="3"/>
      <c r="M44" s="4" t="str">
        <f t="shared" si="2"/>
        <v/>
      </c>
      <c r="N44" s="4" t="str">
        <f>IF(M44="","",IF(ISNUMBER(M44),IF(M44&lt;'Scoring Methodology'!$F$16,"Low",IF(M44&lt;'Scoring Methodology'!$F$17,"Moderate",IF(M44&lt;'Scoring Methodology'!$F$18,"High","Critical"))),"Invalid input"))</f>
        <v/>
      </c>
      <c r="O44" s="3"/>
      <c r="P44" s="3"/>
      <c r="Q44" s="3"/>
      <c r="R44" s="3"/>
      <c r="S44" s="3"/>
      <c r="T44" s="3"/>
      <c r="U44" s="3"/>
      <c r="V44" s="4" t="str">
        <f t="shared" si="3"/>
        <v/>
      </c>
      <c r="W44" s="4" t="str">
        <f>IF(V44="","",IF(ISNUMBER(V44),IF(V44&lt;'Scoring Methodology'!$F$16,"Low",IF(V44&lt;'Scoring Methodology'!$F$17,"Moderate",IF(V44&lt;'Scoring Methodology'!$F$18,"High","Critical"))),"Invalid input"))</f>
        <v/>
      </c>
      <c r="X44" s="3"/>
      <c r="Y44" s="4">
        <f>IF(E44="",0,IF(AND(OR(Dashboard!$L$7="All",Q44=Dashboard!$L$7),OR(Dashboard!$T$7="All",N44=Dashboard!$T$7)),1,0))</f>
        <v>0</v>
      </c>
    </row>
    <row r="45" spans="1:25" ht="26.1" customHeight="1">
      <c r="A45" s="18"/>
      <c r="B45" s="18"/>
      <c r="C45" s="18"/>
      <c r="D45" s="18"/>
      <c r="E45" s="3"/>
      <c r="F45" s="3"/>
      <c r="G45" s="3"/>
      <c r="H45" s="3"/>
      <c r="I45" s="3"/>
      <c r="J45" s="3"/>
      <c r="K45" s="3"/>
      <c r="L45" s="3"/>
      <c r="M45" s="4" t="str">
        <f t="shared" si="2"/>
        <v/>
      </c>
      <c r="N45" s="4" t="str">
        <f>IF(M45="","",IF(ISNUMBER(M45),IF(M45&lt;'Scoring Methodology'!$F$16,"Low",IF(M45&lt;'Scoring Methodology'!$F$17,"Moderate",IF(M45&lt;'Scoring Methodology'!$F$18,"High","Critical"))),"Invalid input"))</f>
        <v/>
      </c>
      <c r="O45" s="3"/>
      <c r="P45" s="3"/>
      <c r="Q45" s="3"/>
      <c r="R45" s="3"/>
      <c r="S45" s="3"/>
      <c r="T45" s="3"/>
      <c r="U45" s="3"/>
      <c r="V45" s="4" t="str">
        <f t="shared" si="3"/>
        <v/>
      </c>
      <c r="W45" s="4" t="str">
        <f>IF(V45="","",IF(ISNUMBER(V45),IF(V45&lt;'Scoring Methodology'!$F$16,"Low",IF(V45&lt;'Scoring Methodology'!$F$17,"Moderate",IF(V45&lt;'Scoring Methodology'!$F$18,"High","Critical"))),"Invalid input"))</f>
        <v/>
      </c>
      <c r="X45" s="3"/>
      <c r="Y45" s="4">
        <f>IF(E45="",0,IF(AND(OR(Dashboard!$L$7="All",Q45=Dashboard!$L$7),OR(Dashboard!$T$7="All",N45=Dashboard!$T$7)),1,0))</f>
        <v>0</v>
      </c>
    </row>
    <row r="46" spans="1:25" ht="26.1" customHeight="1">
      <c r="A46" s="18"/>
      <c r="B46" s="18"/>
      <c r="C46" s="18"/>
      <c r="D46" s="18"/>
      <c r="E46" s="3"/>
      <c r="F46" s="3"/>
      <c r="G46" s="3"/>
      <c r="H46" s="3"/>
      <c r="I46" s="3"/>
      <c r="J46" s="3"/>
      <c r="K46" s="3"/>
      <c r="L46" s="3"/>
      <c r="M46" s="4" t="str">
        <f t="shared" si="2"/>
        <v/>
      </c>
      <c r="N46" s="4" t="str">
        <f>IF(M46="","",IF(ISNUMBER(M46),IF(M46&lt;'Scoring Methodology'!$F$16,"Low",IF(M46&lt;'Scoring Methodology'!$F$17,"Moderate",IF(M46&lt;'Scoring Methodology'!$F$18,"High","Critical"))),"Invalid input"))</f>
        <v/>
      </c>
      <c r="O46" s="3"/>
      <c r="P46" s="3"/>
      <c r="Q46" s="3"/>
      <c r="R46" s="3"/>
      <c r="S46" s="3"/>
      <c r="T46" s="3"/>
      <c r="U46" s="3"/>
      <c r="V46" s="4" t="str">
        <f t="shared" si="3"/>
        <v/>
      </c>
      <c r="W46" s="4" t="str">
        <f>IF(V46="","",IF(ISNUMBER(V46),IF(V46&lt;'Scoring Methodology'!$F$16,"Low",IF(V46&lt;'Scoring Methodology'!$F$17,"Moderate",IF(V46&lt;'Scoring Methodology'!$F$18,"High","Critical"))),"Invalid input"))</f>
        <v/>
      </c>
      <c r="X46" s="3"/>
      <c r="Y46" s="4">
        <f>IF(E46="",0,IF(AND(OR(Dashboard!$L$7="All",Q46=Dashboard!$L$7),OR(Dashboard!$T$7="All",N46=Dashboard!$T$7)),1,0))</f>
        <v>0</v>
      </c>
    </row>
    <row r="47" spans="1:25" ht="26.1" customHeight="1">
      <c r="A47" s="18"/>
      <c r="B47" s="18"/>
      <c r="C47" s="18"/>
      <c r="D47" s="18"/>
      <c r="E47" s="3"/>
      <c r="F47" s="3"/>
      <c r="G47" s="3"/>
      <c r="H47" s="3"/>
      <c r="I47" s="3"/>
      <c r="J47" s="3"/>
      <c r="K47" s="3"/>
      <c r="L47" s="3"/>
      <c r="M47" s="4" t="str">
        <f t="shared" si="2"/>
        <v/>
      </c>
      <c r="N47" s="4" t="str">
        <f>IF(M47="","",IF(ISNUMBER(M47),IF(M47&lt;'Scoring Methodology'!$F$16,"Low",IF(M47&lt;'Scoring Methodology'!$F$17,"Moderate",IF(M47&lt;'Scoring Methodology'!$F$18,"High","Critical"))),"Invalid input"))</f>
        <v/>
      </c>
      <c r="O47" s="3"/>
      <c r="P47" s="3"/>
      <c r="Q47" s="3"/>
      <c r="R47" s="3"/>
      <c r="S47" s="3"/>
      <c r="T47" s="3"/>
      <c r="U47" s="3"/>
      <c r="V47" s="4" t="str">
        <f t="shared" si="3"/>
        <v/>
      </c>
      <c r="W47" s="4" t="str">
        <f>IF(V47="","",IF(ISNUMBER(V47),IF(V47&lt;'Scoring Methodology'!$F$16,"Low",IF(V47&lt;'Scoring Methodology'!$F$17,"Moderate",IF(V47&lt;'Scoring Methodology'!$F$18,"High","Critical"))),"Invalid input"))</f>
        <v/>
      </c>
      <c r="X47" s="3"/>
      <c r="Y47" s="4">
        <f>IF(E47="",0,IF(AND(OR(Dashboard!$L$7="All",Q47=Dashboard!$L$7),OR(Dashboard!$T$7="All",N47=Dashboard!$T$7)),1,0))</f>
        <v>0</v>
      </c>
    </row>
    <row r="48" spans="1:25" ht="26.1" customHeight="1">
      <c r="A48" s="18"/>
      <c r="B48" s="18"/>
      <c r="C48" s="18"/>
      <c r="D48" s="18"/>
      <c r="E48" s="3"/>
      <c r="F48" s="3"/>
      <c r="G48" s="3"/>
      <c r="H48" s="3"/>
      <c r="I48" s="3"/>
      <c r="J48" s="3"/>
      <c r="K48" s="3"/>
      <c r="L48" s="3"/>
      <c r="M48" s="4" t="str">
        <f t="shared" si="2"/>
        <v/>
      </c>
      <c r="N48" s="4" t="str">
        <f>IF(M48="","",IF(ISNUMBER(M48),IF(M48&lt;'Scoring Methodology'!$F$16,"Low",IF(M48&lt;'Scoring Methodology'!$F$17,"Moderate",IF(M48&lt;'Scoring Methodology'!$F$18,"High","Critical"))),"Invalid input"))</f>
        <v/>
      </c>
      <c r="O48" s="3"/>
      <c r="P48" s="3"/>
      <c r="Q48" s="3"/>
      <c r="R48" s="3"/>
      <c r="S48" s="3"/>
      <c r="T48" s="3"/>
      <c r="U48" s="3"/>
      <c r="V48" s="4" t="str">
        <f t="shared" si="3"/>
        <v/>
      </c>
      <c r="W48" s="4" t="str">
        <f>IF(V48="","",IF(ISNUMBER(V48),IF(V48&lt;'Scoring Methodology'!$F$16,"Low",IF(V48&lt;'Scoring Methodology'!$F$17,"Moderate",IF(V48&lt;'Scoring Methodology'!$F$18,"High","Critical"))),"Invalid input"))</f>
        <v/>
      </c>
      <c r="X48" s="3"/>
      <c r="Y48" s="4">
        <f>IF(E48="",0,IF(AND(OR(Dashboard!$L$7="All",Q48=Dashboard!$L$7),OR(Dashboard!$T$7="All",N48=Dashboard!$T$7)),1,0))</f>
        <v>0</v>
      </c>
    </row>
    <row r="49" spans="1:25" ht="26.1" customHeight="1">
      <c r="A49" s="18"/>
      <c r="B49" s="18"/>
      <c r="C49" s="18"/>
      <c r="D49" s="18"/>
      <c r="E49" s="3"/>
      <c r="F49" s="3"/>
      <c r="G49" s="3"/>
      <c r="H49" s="3"/>
      <c r="I49" s="3"/>
      <c r="J49" s="3"/>
      <c r="K49" s="3"/>
      <c r="L49" s="3"/>
      <c r="M49" s="4" t="str">
        <f t="shared" si="2"/>
        <v/>
      </c>
      <c r="N49" s="4" t="str">
        <f>IF(M49="","",IF(ISNUMBER(M49),IF(M49&lt;'Scoring Methodology'!$F$16,"Low",IF(M49&lt;'Scoring Methodology'!$F$17,"Moderate",IF(M49&lt;'Scoring Methodology'!$F$18,"High","Critical"))),"Invalid input"))</f>
        <v/>
      </c>
      <c r="O49" s="3"/>
      <c r="P49" s="3"/>
      <c r="Q49" s="3"/>
      <c r="R49" s="3"/>
      <c r="S49" s="3"/>
      <c r="T49" s="3"/>
      <c r="U49" s="3"/>
      <c r="V49" s="4" t="str">
        <f t="shared" si="3"/>
        <v/>
      </c>
      <c r="W49" s="4" t="str">
        <f>IF(V49="","",IF(ISNUMBER(V49),IF(V49&lt;'Scoring Methodology'!$F$16,"Low",IF(V49&lt;'Scoring Methodology'!$F$17,"Moderate",IF(V49&lt;'Scoring Methodology'!$F$18,"High","Critical"))),"Invalid input"))</f>
        <v/>
      </c>
      <c r="X49" s="3"/>
      <c r="Y49" s="4">
        <f>IF(E49="",0,IF(AND(OR(Dashboard!$L$7="All",Q49=Dashboard!$L$7),OR(Dashboard!$T$7="All",N49=Dashboard!$T$7)),1,0))</f>
        <v>0</v>
      </c>
    </row>
    <row r="50" spans="1:25" ht="26.1" customHeight="1">
      <c r="A50" s="18"/>
      <c r="B50" s="18"/>
      <c r="C50" s="18"/>
      <c r="D50" s="18"/>
      <c r="E50" s="3"/>
      <c r="F50" s="3"/>
      <c r="G50" s="3"/>
      <c r="H50" s="3"/>
      <c r="I50" s="3"/>
      <c r="J50" s="3"/>
      <c r="K50" s="3"/>
      <c r="L50" s="3"/>
      <c r="M50" s="4" t="str">
        <f t="shared" si="2"/>
        <v/>
      </c>
      <c r="N50" s="4" t="str">
        <f>IF(M50="","",IF(ISNUMBER(M50),IF(M50&lt;'Scoring Methodology'!$F$16,"Low",IF(M50&lt;'Scoring Methodology'!$F$17,"Moderate",IF(M50&lt;'Scoring Methodology'!$F$18,"High","Critical"))),"Invalid input"))</f>
        <v/>
      </c>
      <c r="O50" s="3"/>
      <c r="P50" s="3"/>
      <c r="Q50" s="3"/>
      <c r="R50" s="3"/>
      <c r="S50" s="3"/>
      <c r="T50" s="3"/>
      <c r="U50" s="3"/>
      <c r="V50" s="4" t="str">
        <f t="shared" si="3"/>
        <v/>
      </c>
      <c r="W50" s="4" t="str">
        <f>IF(V50="","",IF(ISNUMBER(V50),IF(V50&lt;'Scoring Methodology'!$F$16,"Low",IF(V50&lt;'Scoring Methodology'!$F$17,"Moderate",IF(V50&lt;'Scoring Methodology'!$F$18,"High","Critical"))),"Invalid input"))</f>
        <v/>
      </c>
      <c r="X50" s="3"/>
      <c r="Y50" s="4">
        <f>IF(E50="",0,IF(AND(OR(Dashboard!$L$7="All",Q50=Dashboard!$L$7),OR(Dashboard!$T$7="All",N50=Dashboard!$T$7)),1,0))</f>
        <v>0</v>
      </c>
    </row>
    <row r="51" spans="1:25" ht="26.1" customHeight="1">
      <c r="A51" s="18"/>
      <c r="B51" s="18"/>
      <c r="C51" s="18"/>
      <c r="D51" s="18"/>
      <c r="E51" s="3"/>
      <c r="F51" s="3"/>
      <c r="G51" s="3"/>
      <c r="H51" s="3"/>
      <c r="I51" s="3"/>
      <c r="J51" s="3"/>
      <c r="K51" s="3"/>
      <c r="L51" s="3"/>
      <c r="M51" s="4" t="str">
        <f t="shared" si="2"/>
        <v/>
      </c>
      <c r="N51" s="4" t="str">
        <f>IF(M51="","",IF(ISNUMBER(M51),IF(M51&lt;'Scoring Methodology'!$F$16,"Low",IF(M51&lt;'Scoring Methodology'!$F$17,"Moderate",IF(M51&lt;'Scoring Methodology'!$F$18,"High","Critical"))),"Invalid input"))</f>
        <v/>
      </c>
      <c r="O51" s="3"/>
      <c r="P51" s="3"/>
      <c r="Q51" s="3"/>
      <c r="R51" s="3"/>
      <c r="S51" s="3"/>
      <c r="T51" s="3"/>
      <c r="U51" s="3"/>
      <c r="V51" s="4" t="str">
        <f t="shared" si="3"/>
        <v/>
      </c>
      <c r="W51" s="4" t="str">
        <f>IF(V51="","",IF(ISNUMBER(V51),IF(V51&lt;'Scoring Methodology'!$F$16,"Low",IF(V51&lt;'Scoring Methodology'!$F$17,"Moderate",IF(V51&lt;'Scoring Methodology'!$F$18,"High","Critical"))),"Invalid input"))</f>
        <v/>
      </c>
      <c r="X51" s="3"/>
      <c r="Y51" s="4">
        <f>IF(E51="",0,IF(AND(OR(Dashboard!$L$7="All",Q51=Dashboard!$L$7),OR(Dashboard!$T$7="All",N51=Dashboard!$T$7)),1,0))</f>
        <v>0</v>
      </c>
    </row>
    <row r="52" spans="1:25" ht="26.1" customHeight="1">
      <c r="A52" s="18"/>
      <c r="B52" s="18"/>
      <c r="C52" s="18"/>
      <c r="D52" s="18"/>
      <c r="E52" s="3"/>
      <c r="F52" s="3"/>
      <c r="G52" s="3"/>
      <c r="H52" s="3"/>
      <c r="I52" s="3"/>
      <c r="J52" s="3"/>
      <c r="K52" s="3"/>
      <c r="L52" s="3"/>
      <c r="M52" s="4" t="str">
        <f t="shared" si="2"/>
        <v/>
      </c>
      <c r="N52" s="4" t="str">
        <f>IF(M52="","",IF(ISNUMBER(M52),IF(M52&lt;'Scoring Methodology'!$F$16,"Low",IF(M52&lt;'Scoring Methodology'!$F$17,"Moderate",IF(M52&lt;'Scoring Methodology'!$F$18,"High","Critical"))),"Invalid input"))</f>
        <v/>
      </c>
      <c r="O52" s="3"/>
      <c r="P52" s="3"/>
      <c r="Q52" s="3"/>
      <c r="R52" s="3"/>
      <c r="S52" s="3"/>
      <c r="T52" s="3"/>
      <c r="U52" s="3"/>
      <c r="V52" s="4" t="str">
        <f t="shared" si="3"/>
        <v/>
      </c>
      <c r="W52" s="4" t="str">
        <f>IF(V52="","",IF(ISNUMBER(V52),IF(V52&lt;'Scoring Methodology'!$F$16,"Low",IF(V52&lt;'Scoring Methodology'!$F$17,"Moderate",IF(V52&lt;'Scoring Methodology'!$F$18,"High","Critical"))),"Invalid input"))</f>
        <v/>
      </c>
      <c r="X52" s="3"/>
      <c r="Y52" s="4">
        <f>IF(E52="",0,IF(AND(OR(Dashboard!$L$7="All",Q52=Dashboard!$L$7),OR(Dashboard!$T$7="All",N52=Dashboard!$T$7)),1,0))</f>
        <v>0</v>
      </c>
    </row>
    <row r="53" spans="1:25" ht="26.1" customHeight="1">
      <c r="A53" s="18"/>
      <c r="B53" s="18"/>
      <c r="C53" s="18"/>
      <c r="D53" s="18"/>
      <c r="E53" s="3"/>
      <c r="F53" s="3"/>
      <c r="G53" s="3"/>
      <c r="H53" s="3"/>
      <c r="I53" s="3"/>
      <c r="J53" s="3"/>
      <c r="K53" s="3"/>
      <c r="L53" s="3"/>
      <c r="M53" s="4" t="str">
        <f t="shared" si="2"/>
        <v/>
      </c>
      <c r="N53" s="4" t="str">
        <f>IF(M53="","",IF(ISNUMBER(M53),IF(M53&lt;'Scoring Methodology'!$F$16,"Low",IF(M53&lt;'Scoring Methodology'!$F$17,"Moderate",IF(M53&lt;'Scoring Methodology'!$F$18,"High","Critical"))),"Invalid input"))</f>
        <v/>
      </c>
      <c r="O53" s="3"/>
      <c r="P53" s="3"/>
      <c r="Q53" s="3"/>
      <c r="R53" s="3"/>
      <c r="S53" s="3"/>
      <c r="T53" s="3"/>
      <c r="U53" s="3"/>
      <c r="V53" s="4" t="str">
        <f t="shared" si="3"/>
        <v/>
      </c>
      <c r="W53" s="4" t="str">
        <f>IF(V53="","",IF(ISNUMBER(V53),IF(V53&lt;'Scoring Methodology'!$F$16,"Low",IF(V53&lt;'Scoring Methodology'!$F$17,"Moderate",IF(V53&lt;'Scoring Methodology'!$F$18,"High","Critical"))),"Invalid input"))</f>
        <v/>
      </c>
      <c r="X53" s="3"/>
      <c r="Y53" s="4">
        <f>IF(E53="",0,IF(AND(OR(Dashboard!$L$7="All",Q53=Dashboard!$L$7),OR(Dashboard!$T$7="All",N53=Dashboard!$T$7)),1,0))</f>
        <v>0</v>
      </c>
    </row>
    <row r="54" spans="1:25" ht="26.1" customHeight="1">
      <c r="A54" s="18"/>
      <c r="B54" s="18"/>
      <c r="C54" s="18"/>
      <c r="D54" s="18"/>
      <c r="E54" s="3"/>
      <c r="F54" s="3"/>
      <c r="G54" s="3"/>
      <c r="H54" s="3"/>
      <c r="I54" s="3"/>
      <c r="J54" s="3"/>
      <c r="K54" s="3"/>
      <c r="L54" s="3"/>
      <c r="M54" s="4" t="str">
        <f t="shared" si="2"/>
        <v/>
      </c>
      <c r="N54" s="4" t="str">
        <f>IF(M54="","",IF(ISNUMBER(M54),IF(M54&lt;'Scoring Methodology'!$F$16,"Low",IF(M54&lt;'Scoring Methodology'!$F$17,"Moderate",IF(M54&lt;'Scoring Methodology'!$F$18,"High","Critical"))),"Invalid input"))</f>
        <v/>
      </c>
      <c r="O54" s="3"/>
      <c r="P54" s="3"/>
      <c r="Q54" s="3"/>
      <c r="R54" s="3"/>
      <c r="S54" s="3"/>
      <c r="T54" s="3"/>
      <c r="U54" s="3"/>
      <c r="V54" s="4" t="str">
        <f t="shared" si="3"/>
        <v/>
      </c>
      <c r="W54" s="4" t="str">
        <f>IF(V54="","",IF(ISNUMBER(V54),IF(V54&lt;'Scoring Methodology'!$F$16,"Low",IF(V54&lt;'Scoring Methodology'!$F$17,"Moderate",IF(V54&lt;'Scoring Methodology'!$F$18,"High","Critical"))),"Invalid input"))</f>
        <v/>
      </c>
      <c r="X54" s="3"/>
      <c r="Y54" s="4">
        <f>IF(E54="",0,IF(AND(OR(Dashboard!$L$7="All",Q54=Dashboard!$L$7),OR(Dashboard!$T$7="All",N54=Dashboard!$T$7)),1,0))</f>
        <v>0</v>
      </c>
    </row>
    <row r="55" spans="1:25" ht="26.1" customHeight="1">
      <c r="A55" s="18"/>
      <c r="B55" s="18"/>
      <c r="C55" s="18"/>
      <c r="D55" s="18"/>
      <c r="E55" s="3"/>
      <c r="F55" s="3"/>
      <c r="G55" s="3"/>
      <c r="H55" s="3"/>
      <c r="I55" s="3"/>
      <c r="J55" s="3"/>
      <c r="K55" s="3"/>
      <c r="L55" s="3"/>
      <c r="M55" s="4" t="str">
        <f t="shared" si="2"/>
        <v/>
      </c>
      <c r="N55" s="4" t="str">
        <f>IF(M55="","",IF(ISNUMBER(M55),IF(M55&lt;'Scoring Methodology'!$F$16,"Low",IF(M55&lt;'Scoring Methodology'!$F$17,"Moderate",IF(M55&lt;'Scoring Methodology'!$F$18,"High","Critical"))),"Invalid input"))</f>
        <v/>
      </c>
      <c r="O55" s="3"/>
      <c r="P55" s="3"/>
      <c r="Q55" s="3"/>
      <c r="R55" s="3"/>
      <c r="S55" s="3"/>
      <c r="T55" s="3"/>
      <c r="U55" s="3"/>
      <c r="V55" s="4" t="str">
        <f t="shared" si="3"/>
        <v/>
      </c>
      <c r="W55" s="4" t="str">
        <f>IF(V55="","",IF(ISNUMBER(V55),IF(V55&lt;'Scoring Methodology'!$F$16,"Low",IF(V55&lt;'Scoring Methodology'!$F$17,"Moderate",IF(V55&lt;'Scoring Methodology'!$F$18,"High","Critical"))),"Invalid input"))</f>
        <v/>
      </c>
      <c r="X55" s="3"/>
      <c r="Y55" s="4">
        <f>IF(E55="",0,IF(AND(OR(Dashboard!$L$7="All",Q55=Dashboard!$L$7),OR(Dashboard!$T$7="All",N55=Dashboard!$T$7)),1,0))</f>
        <v>0</v>
      </c>
    </row>
    <row r="56" spans="1:25" ht="26.1" customHeight="1">
      <c r="A56" s="18"/>
      <c r="B56" s="18"/>
      <c r="C56" s="18"/>
      <c r="D56" s="18"/>
      <c r="E56" s="3"/>
      <c r="F56" s="3"/>
      <c r="G56" s="3"/>
      <c r="H56" s="3"/>
      <c r="I56" s="3"/>
      <c r="J56" s="3"/>
      <c r="K56" s="3"/>
      <c r="L56" s="3"/>
      <c r="M56" s="4" t="str">
        <f t="shared" si="2"/>
        <v/>
      </c>
      <c r="N56" s="4" t="str">
        <f>IF(M56="","",IF(ISNUMBER(M56),IF(M56&lt;'Scoring Methodology'!$F$16,"Low",IF(M56&lt;'Scoring Methodology'!$F$17,"Moderate",IF(M56&lt;'Scoring Methodology'!$F$18,"High","Critical"))),"Invalid input"))</f>
        <v/>
      </c>
      <c r="O56" s="3"/>
      <c r="P56" s="3"/>
      <c r="Q56" s="3"/>
      <c r="R56" s="3"/>
      <c r="S56" s="3"/>
      <c r="T56" s="3"/>
      <c r="U56" s="3"/>
      <c r="V56" s="4" t="str">
        <f t="shared" si="3"/>
        <v/>
      </c>
      <c r="W56" s="4" t="str">
        <f>IF(V56="","",IF(ISNUMBER(V56),IF(V56&lt;'Scoring Methodology'!$F$16,"Low",IF(V56&lt;'Scoring Methodology'!$F$17,"Moderate",IF(V56&lt;'Scoring Methodology'!$F$18,"High","Critical"))),"Invalid input"))</f>
        <v/>
      </c>
      <c r="X56" s="3"/>
      <c r="Y56" s="4">
        <f>IF(E56="",0,IF(AND(OR(Dashboard!$L$7="All",Q56=Dashboard!$L$7),OR(Dashboard!$T$7="All",N56=Dashboard!$T$7)),1,0))</f>
        <v>0</v>
      </c>
    </row>
    <row r="57" spans="1:25" ht="26.1" customHeight="1">
      <c r="A57" s="18"/>
      <c r="B57" s="18"/>
      <c r="C57" s="18"/>
      <c r="D57" s="18"/>
      <c r="E57" s="3"/>
      <c r="F57" s="3"/>
      <c r="G57" s="3"/>
      <c r="H57" s="3"/>
      <c r="I57" s="3"/>
      <c r="J57" s="3"/>
      <c r="K57" s="3"/>
      <c r="L57" s="3"/>
      <c r="M57" s="4" t="str">
        <f t="shared" si="2"/>
        <v/>
      </c>
      <c r="N57" s="4" t="str">
        <f>IF(M57="","",IF(ISNUMBER(M57),IF(M57&lt;'Scoring Methodology'!$F$16,"Low",IF(M57&lt;'Scoring Methodology'!$F$17,"Moderate",IF(M57&lt;'Scoring Methodology'!$F$18,"High","Critical"))),"Invalid input"))</f>
        <v/>
      </c>
      <c r="O57" s="3"/>
      <c r="P57" s="3"/>
      <c r="Q57" s="3"/>
      <c r="R57" s="3"/>
      <c r="S57" s="3"/>
      <c r="T57" s="3"/>
      <c r="U57" s="3"/>
      <c r="V57" s="4" t="str">
        <f t="shared" si="3"/>
        <v/>
      </c>
      <c r="W57" s="4" t="str">
        <f>IF(V57="","",IF(ISNUMBER(V57),IF(V57&lt;'Scoring Methodology'!$F$16,"Low",IF(V57&lt;'Scoring Methodology'!$F$17,"Moderate",IF(V57&lt;'Scoring Methodology'!$F$18,"High","Critical"))),"Invalid input"))</f>
        <v/>
      </c>
      <c r="X57" s="3"/>
      <c r="Y57" s="4">
        <f>IF(E57="",0,IF(AND(OR(Dashboard!$L$7="All",Q57=Dashboard!$L$7),OR(Dashboard!$T$7="All",N57=Dashboard!$T$7)),1,0))</f>
        <v>0</v>
      </c>
    </row>
    <row r="58" spans="1:25" ht="26.1" customHeight="1">
      <c r="A58" s="18"/>
      <c r="B58" s="18"/>
      <c r="C58" s="18"/>
      <c r="D58" s="18"/>
      <c r="E58" s="3"/>
      <c r="F58" s="3"/>
      <c r="G58" s="3"/>
      <c r="H58" s="3"/>
      <c r="I58" s="3"/>
      <c r="J58" s="3"/>
      <c r="K58" s="3"/>
      <c r="L58" s="3"/>
      <c r="M58" s="4" t="str">
        <f t="shared" si="2"/>
        <v/>
      </c>
      <c r="N58" s="4" t="str">
        <f>IF(M58="","",IF(ISNUMBER(M58),IF(M58&lt;'Scoring Methodology'!$F$16,"Low",IF(M58&lt;'Scoring Methodology'!$F$17,"Moderate",IF(M58&lt;'Scoring Methodology'!$F$18,"High","Critical"))),"Invalid input"))</f>
        <v/>
      </c>
      <c r="O58" s="3"/>
      <c r="P58" s="3"/>
      <c r="Q58" s="3"/>
      <c r="R58" s="3"/>
      <c r="S58" s="3"/>
      <c r="T58" s="3"/>
      <c r="U58" s="3"/>
      <c r="V58" s="4" t="str">
        <f t="shared" si="3"/>
        <v/>
      </c>
      <c r="W58" s="4" t="str">
        <f>IF(V58="","",IF(ISNUMBER(V58),IF(V58&lt;'Scoring Methodology'!$F$16,"Low",IF(V58&lt;'Scoring Methodology'!$F$17,"Moderate",IF(V58&lt;'Scoring Methodology'!$F$18,"High","Critical"))),"Invalid input"))</f>
        <v/>
      </c>
      <c r="X58" s="3"/>
      <c r="Y58" s="4">
        <f>IF(E58="",0,IF(AND(OR(Dashboard!$L$7="All",Q58=Dashboard!$L$7),OR(Dashboard!$T$7="All",N58=Dashboard!$T$7)),1,0))</f>
        <v>0</v>
      </c>
    </row>
    <row r="59" spans="1:25" ht="26.1" customHeight="1">
      <c r="A59" s="18"/>
      <c r="B59" s="18"/>
      <c r="C59" s="18"/>
      <c r="D59" s="18"/>
      <c r="E59" s="3"/>
      <c r="F59" s="3"/>
      <c r="G59" s="3"/>
      <c r="H59" s="3"/>
      <c r="I59" s="3"/>
      <c r="J59" s="3"/>
      <c r="K59" s="3"/>
      <c r="L59" s="3"/>
      <c r="M59" s="4" t="str">
        <f t="shared" si="2"/>
        <v/>
      </c>
      <c r="N59" s="4" t="str">
        <f>IF(M59="","",IF(ISNUMBER(M59),IF(M59&lt;'Scoring Methodology'!$F$16,"Low",IF(M59&lt;'Scoring Methodology'!$F$17,"Moderate",IF(M59&lt;'Scoring Methodology'!$F$18,"High","Critical"))),"Invalid input"))</f>
        <v/>
      </c>
      <c r="O59" s="3"/>
      <c r="P59" s="3"/>
      <c r="Q59" s="3"/>
      <c r="R59" s="3"/>
      <c r="S59" s="3"/>
      <c r="T59" s="3"/>
      <c r="U59" s="3"/>
      <c r="V59" s="4" t="str">
        <f t="shared" si="3"/>
        <v/>
      </c>
      <c r="W59" s="4" t="str">
        <f>IF(V59="","",IF(ISNUMBER(V59),IF(V59&lt;'Scoring Methodology'!$F$16,"Low",IF(V59&lt;'Scoring Methodology'!$F$17,"Moderate",IF(V59&lt;'Scoring Methodology'!$F$18,"High","Critical"))),"Invalid input"))</f>
        <v/>
      </c>
      <c r="X59" s="3"/>
      <c r="Y59" s="4">
        <f>IF(E59="",0,IF(AND(OR(Dashboard!$L$7="All",Q59=Dashboard!$L$7),OR(Dashboard!$T$7="All",N59=Dashboard!$T$7)),1,0))</f>
        <v>0</v>
      </c>
    </row>
    <row r="60" spans="1:25" ht="26.1" customHeight="1">
      <c r="A60" s="18"/>
      <c r="B60" s="18"/>
      <c r="C60" s="18"/>
      <c r="D60" s="18"/>
      <c r="E60" s="3"/>
      <c r="F60" s="3"/>
      <c r="G60" s="3"/>
      <c r="H60" s="3"/>
      <c r="I60" s="3"/>
      <c r="J60" s="3"/>
      <c r="K60" s="3"/>
      <c r="L60" s="3"/>
      <c r="M60" s="4" t="str">
        <f t="shared" si="2"/>
        <v/>
      </c>
      <c r="N60" s="4" t="str">
        <f>IF(M60="","",IF(ISNUMBER(M60),IF(M60&lt;'Scoring Methodology'!$F$16,"Low",IF(M60&lt;'Scoring Methodology'!$F$17,"Moderate",IF(M60&lt;'Scoring Methodology'!$F$18,"High","Critical"))),"Invalid input"))</f>
        <v/>
      </c>
      <c r="O60" s="3"/>
      <c r="P60" s="3"/>
      <c r="Q60" s="3"/>
      <c r="R60" s="3"/>
      <c r="S60" s="3"/>
      <c r="T60" s="3"/>
      <c r="U60" s="3"/>
      <c r="V60" s="4" t="str">
        <f t="shared" si="3"/>
        <v/>
      </c>
      <c r="W60" s="4" t="str">
        <f>IF(V60="","",IF(ISNUMBER(V60),IF(V60&lt;'Scoring Methodology'!$F$16,"Low",IF(V60&lt;'Scoring Methodology'!$F$17,"Moderate",IF(V60&lt;'Scoring Methodology'!$F$18,"High","Critical"))),"Invalid input"))</f>
        <v/>
      </c>
      <c r="X60" s="3"/>
      <c r="Y60" s="4">
        <f>IF(E60="",0,IF(AND(OR(Dashboard!$L$7="All",Q60=Dashboard!$L$7),OR(Dashboard!$T$7="All",N60=Dashboard!$T$7)),1,0))</f>
        <v>0</v>
      </c>
    </row>
    <row r="61" spans="1:25" ht="26.1" customHeight="1">
      <c r="A61" s="18"/>
      <c r="B61" s="18"/>
      <c r="C61" s="18"/>
      <c r="D61" s="18"/>
      <c r="E61" s="3"/>
      <c r="F61" s="3"/>
      <c r="G61" s="3"/>
      <c r="H61" s="3"/>
      <c r="I61" s="3"/>
      <c r="J61" s="3"/>
      <c r="K61" s="3"/>
      <c r="L61" s="3"/>
      <c r="M61" s="4" t="str">
        <f t="shared" si="2"/>
        <v/>
      </c>
      <c r="N61" s="4" t="str">
        <f>IF(M61="","",IF(ISNUMBER(M61),IF(M61&lt;'Scoring Methodology'!$F$16,"Low",IF(M61&lt;'Scoring Methodology'!$F$17,"Moderate",IF(M61&lt;'Scoring Methodology'!$F$18,"High","Critical"))),"Invalid input"))</f>
        <v/>
      </c>
      <c r="O61" s="3"/>
      <c r="P61" s="3"/>
      <c r="Q61" s="3"/>
      <c r="R61" s="3"/>
      <c r="S61" s="3"/>
      <c r="T61" s="3"/>
      <c r="U61" s="3"/>
      <c r="V61" s="4" t="str">
        <f t="shared" si="3"/>
        <v/>
      </c>
      <c r="W61" s="4" t="str">
        <f>IF(V61="","",IF(ISNUMBER(V61),IF(V61&lt;'Scoring Methodology'!$F$16,"Low",IF(V61&lt;'Scoring Methodology'!$F$17,"Moderate",IF(V61&lt;'Scoring Methodology'!$F$18,"High","Critical"))),"Invalid input"))</f>
        <v/>
      </c>
      <c r="X61" s="3"/>
      <c r="Y61" s="4">
        <f>IF(E61="",0,IF(AND(OR(Dashboard!$L$7="All",Q61=Dashboard!$L$7),OR(Dashboard!$T$7="All",N61=Dashboard!$T$7)),1,0))</f>
        <v>0</v>
      </c>
    </row>
    <row r="62" spans="1:25" ht="26.1" customHeight="1">
      <c r="A62" s="18"/>
      <c r="B62" s="18"/>
      <c r="C62" s="18"/>
      <c r="D62" s="18"/>
      <c r="E62" s="3"/>
      <c r="F62" s="3"/>
      <c r="G62" s="3"/>
      <c r="H62" s="3"/>
      <c r="I62" s="3"/>
      <c r="J62" s="3"/>
      <c r="K62" s="3"/>
      <c r="L62" s="3"/>
      <c r="M62" s="4" t="str">
        <f t="shared" si="2"/>
        <v/>
      </c>
      <c r="N62" s="4" t="str">
        <f>IF(M62="","",IF(ISNUMBER(M62),IF(M62&lt;'Scoring Methodology'!$F$16,"Low",IF(M62&lt;'Scoring Methodology'!$F$17,"Moderate",IF(M62&lt;'Scoring Methodology'!$F$18,"High","Critical"))),"Invalid input"))</f>
        <v/>
      </c>
      <c r="O62" s="3"/>
      <c r="P62" s="3"/>
      <c r="Q62" s="3"/>
      <c r="R62" s="3"/>
      <c r="S62" s="3"/>
      <c r="T62" s="3"/>
      <c r="U62" s="3"/>
      <c r="V62" s="4" t="str">
        <f t="shared" si="3"/>
        <v/>
      </c>
      <c r="W62" s="4" t="str">
        <f>IF(V62="","",IF(ISNUMBER(V62),IF(V62&lt;'Scoring Methodology'!$F$16,"Low",IF(V62&lt;'Scoring Methodology'!$F$17,"Moderate",IF(V62&lt;'Scoring Methodology'!$F$18,"High","Critical"))),"Invalid input"))</f>
        <v/>
      </c>
      <c r="X62" s="3"/>
      <c r="Y62" s="4">
        <f>IF(E62="",0,IF(AND(OR(Dashboard!$L$7="All",Q62=Dashboard!$L$7),OR(Dashboard!$T$7="All",N62=Dashboard!$T$7)),1,0))</f>
        <v>0</v>
      </c>
    </row>
    <row r="63" spans="1:25" ht="26.1" customHeight="1">
      <c r="A63" s="18"/>
      <c r="B63" s="18"/>
      <c r="C63" s="18"/>
      <c r="D63" s="18"/>
      <c r="E63" s="3"/>
      <c r="F63" s="3"/>
      <c r="G63" s="3"/>
      <c r="H63" s="3"/>
      <c r="I63" s="3"/>
      <c r="J63" s="3"/>
      <c r="K63" s="3"/>
      <c r="L63" s="3"/>
      <c r="M63" s="4" t="str">
        <f t="shared" si="2"/>
        <v/>
      </c>
      <c r="N63" s="4" t="str">
        <f>IF(M63="","",IF(ISNUMBER(M63),IF(M63&lt;'Scoring Methodology'!$F$16,"Low",IF(M63&lt;'Scoring Methodology'!$F$17,"Moderate",IF(M63&lt;'Scoring Methodology'!$F$18,"High","Critical"))),"Invalid input"))</f>
        <v/>
      </c>
      <c r="O63" s="3"/>
      <c r="P63" s="3"/>
      <c r="Q63" s="3"/>
      <c r="R63" s="3"/>
      <c r="S63" s="3"/>
      <c r="T63" s="3"/>
      <c r="U63" s="3"/>
      <c r="V63" s="4" t="str">
        <f t="shared" si="3"/>
        <v/>
      </c>
      <c r="W63" s="4" t="str">
        <f>IF(V63="","",IF(ISNUMBER(V63),IF(V63&lt;'Scoring Methodology'!$F$16,"Low",IF(V63&lt;'Scoring Methodology'!$F$17,"Moderate",IF(V63&lt;'Scoring Methodology'!$F$18,"High","Critical"))),"Invalid input"))</f>
        <v/>
      </c>
      <c r="X63" s="3"/>
      <c r="Y63" s="4">
        <f>IF(E63="",0,IF(AND(OR(Dashboard!$L$7="All",Q63=Dashboard!$L$7),OR(Dashboard!$T$7="All",N63=Dashboard!$T$7)),1,0))</f>
        <v>0</v>
      </c>
    </row>
    <row r="64" spans="1:25" ht="26.1" customHeight="1">
      <c r="A64" s="18"/>
      <c r="B64" s="18"/>
      <c r="C64" s="18"/>
      <c r="D64" s="18"/>
      <c r="E64" s="3"/>
      <c r="F64" s="3"/>
      <c r="G64" s="3"/>
      <c r="H64" s="3"/>
      <c r="I64" s="3"/>
      <c r="J64" s="3"/>
      <c r="K64" s="3"/>
      <c r="L64" s="3"/>
      <c r="M64" s="4" t="str">
        <f t="shared" si="2"/>
        <v/>
      </c>
      <c r="N64" s="4" t="str">
        <f>IF(M64="","",IF(ISNUMBER(M64),IF(M64&lt;'Scoring Methodology'!$F$16,"Low",IF(M64&lt;'Scoring Methodology'!$F$17,"Moderate",IF(M64&lt;'Scoring Methodology'!$F$18,"High","Critical"))),"Invalid input"))</f>
        <v/>
      </c>
      <c r="O64" s="3"/>
      <c r="P64" s="3"/>
      <c r="Q64" s="3"/>
      <c r="R64" s="3"/>
      <c r="S64" s="3"/>
      <c r="T64" s="3"/>
      <c r="U64" s="3"/>
      <c r="V64" s="4" t="str">
        <f t="shared" si="3"/>
        <v/>
      </c>
      <c r="W64" s="4" t="str">
        <f>IF(V64="","",IF(ISNUMBER(V64),IF(V64&lt;'Scoring Methodology'!$F$16,"Low",IF(V64&lt;'Scoring Methodology'!$F$17,"Moderate",IF(V64&lt;'Scoring Methodology'!$F$18,"High","Critical"))),"Invalid input"))</f>
        <v/>
      </c>
      <c r="X64" s="3"/>
      <c r="Y64" s="4">
        <f>IF(E64="",0,IF(AND(OR(Dashboard!$L$7="All",Q64=Dashboard!$L$7),OR(Dashboard!$T$7="All",N64=Dashboard!$T$7)),1,0))</f>
        <v>0</v>
      </c>
    </row>
    <row r="65" spans="1:25" ht="26.1" customHeight="1">
      <c r="A65" s="18"/>
      <c r="B65" s="18"/>
      <c r="C65" s="18"/>
      <c r="D65" s="18"/>
      <c r="E65" s="3"/>
      <c r="F65" s="3"/>
      <c r="G65" s="3"/>
      <c r="H65" s="3"/>
      <c r="I65" s="3"/>
      <c r="J65" s="3"/>
      <c r="K65" s="3"/>
      <c r="L65" s="3"/>
      <c r="M65" s="4" t="str">
        <f t="shared" si="2"/>
        <v/>
      </c>
      <c r="N65" s="4" t="str">
        <f>IF(M65="","",IF(ISNUMBER(M65),IF(M65&lt;'Scoring Methodology'!$F$16,"Low",IF(M65&lt;'Scoring Methodology'!$F$17,"Moderate",IF(M65&lt;'Scoring Methodology'!$F$18,"High","Critical"))),"Invalid input"))</f>
        <v/>
      </c>
      <c r="O65" s="3"/>
      <c r="P65" s="3"/>
      <c r="Q65" s="3"/>
      <c r="R65" s="3"/>
      <c r="S65" s="3"/>
      <c r="T65" s="3"/>
      <c r="U65" s="3"/>
      <c r="V65" s="4" t="str">
        <f t="shared" si="3"/>
        <v/>
      </c>
      <c r="W65" s="4" t="str">
        <f>IF(V65="","",IF(ISNUMBER(V65),IF(V65&lt;'Scoring Methodology'!$F$16,"Low",IF(V65&lt;'Scoring Methodology'!$F$17,"Moderate",IF(V65&lt;'Scoring Methodology'!$F$18,"High","Critical"))),"Invalid input"))</f>
        <v/>
      </c>
      <c r="X65" s="3"/>
      <c r="Y65" s="4">
        <f>IF(E65="",0,IF(AND(OR(Dashboard!$L$7="All",Q65=Dashboard!$L$7),OR(Dashboard!$T$7="All",N65=Dashboard!$T$7)),1,0))</f>
        <v>0</v>
      </c>
    </row>
    <row r="66" spans="1:25" ht="26.1" customHeight="1">
      <c r="A66" s="18"/>
      <c r="B66" s="18"/>
      <c r="C66" s="18"/>
      <c r="D66" s="18"/>
      <c r="E66" s="3"/>
      <c r="F66" s="3"/>
      <c r="G66" s="3"/>
      <c r="H66" s="3"/>
      <c r="I66" s="3"/>
      <c r="J66" s="3"/>
      <c r="K66" s="3"/>
      <c r="L66" s="3"/>
      <c r="M66" s="4" t="str">
        <f t="shared" si="2"/>
        <v/>
      </c>
      <c r="N66" s="4" t="str">
        <f>IF(M66="","",IF(ISNUMBER(M66),IF(M66&lt;'Scoring Methodology'!$F$16,"Low",IF(M66&lt;'Scoring Methodology'!$F$17,"Moderate",IF(M66&lt;'Scoring Methodology'!$F$18,"High","Critical"))),"Invalid input"))</f>
        <v/>
      </c>
      <c r="O66" s="3"/>
      <c r="P66" s="3"/>
      <c r="Q66" s="3"/>
      <c r="R66" s="3"/>
      <c r="S66" s="3"/>
      <c r="T66" s="3"/>
      <c r="U66" s="3"/>
      <c r="V66" s="4" t="str">
        <f t="shared" si="3"/>
        <v/>
      </c>
      <c r="W66" s="4" t="str">
        <f>IF(V66="","",IF(ISNUMBER(V66),IF(V66&lt;'Scoring Methodology'!$F$16,"Low",IF(V66&lt;'Scoring Methodology'!$F$17,"Moderate",IF(V66&lt;'Scoring Methodology'!$F$18,"High","Critical"))),"Invalid input"))</f>
        <v/>
      </c>
      <c r="X66" s="3"/>
      <c r="Y66" s="4">
        <f>IF(E66="",0,IF(AND(OR(Dashboard!$L$7="All",Q66=Dashboard!$L$7),OR(Dashboard!$T$7="All",N66=Dashboard!$T$7)),1,0))</f>
        <v>0</v>
      </c>
    </row>
    <row r="67" spans="1:25" ht="26.1" customHeight="1">
      <c r="A67" s="18"/>
      <c r="B67" s="18"/>
      <c r="C67" s="18"/>
      <c r="D67" s="18"/>
      <c r="E67" s="3"/>
      <c r="F67" s="3"/>
      <c r="G67" s="3"/>
      <c r="H67" s="3"/>
      <c r="I67" s="3"/>
      <c r="J67" s="3"/>
      <c r="K67" s="3"/>
      <c r="L67" s="3"/>
      <c r="M67" s="4" t="str">
        <f t="shared" si="2"/>
        <v/>
      </c>
      <c r="N67" s="4" t="str">
        <f>IF(M67="","",IF(ISNUMBER(M67),IF(M67&lt;'Scoring Methodology'!$F$16,"Low",IF(M67&lt;'Scoring Methodology'!$F$17,"Moderate",IF(M67&lt;'Scoring Methodology'!$F$18,"High","Critical"))),"Invalid input"))</f>
        <v/>
      </c>
      <c r="O67" s="3"/>
      <c r="P67" s="3"/>
      <c r="Q67" s="3"/>
      <c r="R67" s="3"/>
      <c r="S67" s="3"/>
      <c r="T67" s="3"/>
      <c r="U67" s="3"/>
      <c r="V67" s="4" t="str">
        <f t="shared" si="3"/>
        <v/>
      </c>
      <c r="W67" s="4" t="str">
        <f>IF(V67="","",IF(ISNUMBER(V67),IF(V67&lt;'Scoring Methodology'!$F$16,"Low",IF(V67&lt;'Scoring Methodology'!$F$17,"Moderate",IF(V67&lt;'Scoring Methodology'!$F$18,"High","Critical"))),"Invalid input"))</f>
        <v/>
      </c>
      <c r="X67" s="3"/>
      <c r="Y67" s="4">
        <f>IF(E67="",0,IF(AND(OR(Dashboard!$L$7="All",Q67=Dashboard!$L$7),OR(Dashboard!$T$7="All",N67=Dashboard!$T$7)),1,0))</f>
        <v>0</v>
      </c>
    </row>
    <row r="68" spans="1:25" ht="26.1" customHeight="1">
      <c r="A68" s="18"/>
      <c r="B68" s="18"/>
      <c r="C68" s="18"/>
      <c r="D68" s="18"/>
      <c r="E68" s="3"/>
      <c r="F68" s="3"/>
      <c r="G68" s="3"/>
      <c r="H68" s="3"/>
      <c r="I68" s="3"/>
      <c r="J68" s="3"/>
      <c r="K68" s="3"/>
      <c r="L68" s="3"/>
      <c r="M68" s="4" t="str">
        <f t="shared" si="2"/>
        <v/>
      </c>
      <c r="N68" s="4" t="str">
        <f>IF(M68="","",IF(ISNUMBER(M68),IF(M68&lt;'Scoring Methodology'!$F$16,"Low",IF(M68&lt;'Scoring Methodology'!$F$17,"Moderate",IF(M68&lt;'Scoring Methodology'!$F$18,"High","Critical"))),"Invalid input"))</f>
        <v/>
      </c>
      <c r="O68" s="3"/>
      <c r="P68" s="3"/>
      <c r="Q68" s="3"/>
      <c r="R68" s="3"/>
      <c r="S68" s="3"/>
      <c r="T68" s="3"/>
      <c r="U68" s="3"/>
      <c r="V68" s="4" t="str">
        <f t="shared" si="3"/>
        <v/>
      </c>
      <c r="W68" s="4" t="str">
        <f>IF(V68="","",IF(ISNUMBER(V68),IF(V68&lt;'Scoring Methodology'!$F$16,"Low",IF(V68&lt;'Scoring Methodology'!$F$17,"Moderate",IF(V68&lt;'Scoring Methodology'!$F$18,"High","Critical"))),"Invalid input"))</f>
        <v/>
      </c>
      <c r="X68" s="3"/>
      <c r="Y68" s="4">
        <f>IF(E68="",0,IF(AND(OR(Dashboard!$L$7="All",Q68=Dashboard!$L$7),OR(Dashboard!$T$7="All",N68=Dashboard!$T$7)),1,0))</f>
        <v>0</v>
      </c>
    </row>
    <row r="69" spans="1:25" ht="26.1" customHeight="1">
      <c r="A69" s="18"/>
      <c r="B69" s="18"/>
      <c r="C69" s="18"/>
      <c r="D69" s="18"/>
      <c r="E69" s="3"/>
      <c r="F69" s="3"/>
      <c r="G69" s="3"/>
      <c r="H69" s="3"/>
      <c r="I69" s="3"/>
      <c r="J69" s="3"/>
      <c r="K69" s="3"/>
      <c r="L69" s="3"/>
      <c r="M69" s="4" t="str">
        <f t="shared" si="2"/>
        <v/>
      </c>
      <c r="N69" s="4" t="str">
        <f>IF(M69="","",IF(ISNUMBER(M69),IF(M69&lt;'Scoring Methodology'!$F$16,"Low",IF(M69&lt;'Scoring Methodology'!$F$17,"Moderate",IF(M69&lt;'Scoring Methodology'!$F$18,"High","Critical"))),"Invalid input"))</f>
        <v/>
      </c>
      <c r="O69" s="3"/>
      <c r="P69" s="3"/>
      <c r="Q69" s="3"/>
      <c r="R69" s="3"/>
      <c r="S69" s="3"/>
      <c r="T69" s="3"/>
      <c r="U69" s="3"/>
      <c r="V69" s="4" t="str">
        <f t="shared" si="3"/>
        <v/>
      </c>
      <c r="W69" s="4" t="str">
        <f>IF(V69="","",IF(ISNUMBER(V69),IF(V69&lt;'Scoring Methodology'!$F$16,"Low",IF(V69&lt;'Scoring Methodology'!$F$17,"Moderate",IF(V69&lt;'Scoring Methodology'!$F$18,"High","Critical"))),"Invalid input"))</f>
        <v/>
      </c>
      <c r="X69" s="3"/>
      <c r="Y69" s="4">
        <f>IF(E69="",0,IF(AND(OR(Dashboard!$L$7="All",Q69=Dashboard!$L$7),OR(Dashboard!$T$7="All",N69=Dashboard!$T$7)),1,0))</f>
        <v>0</v>
      </c>
    </row>
    <row r="70" spans="1:25" ht="26.1" customHeight="1">
      <c r="A70" s="18"/>
      <c r="B70" s="18"/>
      <c r="C70" s="18"/>
      <c r="D70" s="18"/>
      <c r="E70" s="3"/>
      <c r="F70" s="3"/>
      <c r="G70" s="3"/>
      <c r="H70" s="3"/>
      <c r="I70" s="3"/>
      <c r="J70" s="3"/>
      <c r="K70" s="3"/>
      <c r="L70" s="3"/>
      <c r="M70" s="4" t="str">
        <f t="shared" si="2"/>
        <v/>
      </c>
      <c r="N70" s="4" t="str">
        <f>IF(M70="","",IF(ISNUMBER(M70),IF(M70&lt;'Scoring Methodology'!$F$16,"Low",IF(M70&lt;'Scoring Methodology'!$F$17,"Moderate",IF(M70&lt;'Scoring Methodology'!$F$18,"High","Critical"))),"Invalid input"))</f>
        <v/>
      </c>
      <c r="O70" s="3"/>
      <c r="P70" s="3"/>
      <c r="Q70" s="3"/>
      <c r="R70" s="3"/>
      <c r="S70" s="3"/>
      <c r="T70" s="3"/>
      <c r="U70" s="3"/>
      <c r="V70" s="4" t="str">
        <f t="shared" si="3"/>
        <v/>
      </c>
      <c r="W70" s="4" t="str">
        <f>IF(V70="","",IF(ISNUMBER(V70),IF(V70&lt;'Scoring Methodology'!$F$16,"Low",IF(V70&lt;'Scoring Methodology'!$F$17,"Moderate",IF(V70&lt;'Scoring Methodology'!$F$18,"High","Critical"))),"Invalid input"))</f>
        <v/>
      </c>
      <c r="X70" s="3"/>
      <c r="Y70" s="4">
        <f>IF(E70="",0,IF(AND(OR(Dashboard!$L$7="All",Q70=Dashboard!$L$7),OR(Dashboard!$T$7="All",N70=Dashboard!$T$7)),1,0))</f>
        <v>0</v>
      </c>
    </row>
    <row r="71" spans="1:25" ht="26.1" customHeight="1">
      <c r="A71" s="18"/>
      <c r="B71" s="18"/>
      <c r="C71" s="18"/>
      <c r="D71" s="18"/>
      <c r="E71" s="3"/>
      <c r="F71" s="3"/>
      <c r="G71" s="3"/>
      <c r="H71" s="3"/>
      <c r="I71" s="3"/>
      <c r="J71" s="3"/>
      <c r="K71" s="3"/>
      <c r="L71" s="3"/>
      <c r="M71" s="4" t="str">
        <f t="shared" ref="M71:M102" si="4">IF(E71="","",IF(OR(K71="",L71=""),"",IF(AND(ISNUMBER(K71),ISNUMBER(L71),K71&gt;=1,K71&lt;=5,L71&gt;=1,L71&lt;=5,MOD(K71,1)=0,MOD(L71,1)=0),K71*L71,"Invalid input")))</f>
        <v/>
      </c>
      <c r="N71" s="4" t="str">
        <f>IF(M71="","",IF(ISNUMBER(M71),IF(M71&lt;'Scoring Methodology'!$F$16,"Low",IF(M71&lt;'Scoring Methodology'!$F$17,"Moderate",IF(M71&lt;'Scoring Methodology'!$F$18,"High","Critical"))),"Invalid input"))</f>
        <v/>
      </c>
      <c r="O71" s="3"/>
      <c r="P71" s="3"/>
      <c r="Q71" s="3"/>
      <c r="R71" s="3"/>
      <c r="S71" s="3"/>
      <c r="T71" s="3"/>
      <c r="U71" s="3"/>
      <c r="V71" s="4" t="str">
        <f t="shared" ref="V71:V102" si="5">IF(E71="","",IF(OR(T71="",U71=""),"",IF(AND(ISNUMBER(T71),ISNUMBER(U71),T71&gt;=1,T71&lt;=5,U71&gt;=1,U71&lt;=5,MOD(T71,1)=0,MOD(U71,1)=0),T71*U71,"Invalid input")))</f>
        <v/>
      </c>
      <c r="W71" s="4" t="str">
        <f>IF(V71="","",IF(ISNUMBER(V71),IF(V71&lt;'Scoring Methodology'!$F$16,"Low",IF(V71&lt;'Scoring Methodology'!$F$17,"Moderate",IF(V71&lt;'Scoring Methodology'!$F$18,"High","Critical"))),"Invalid input"))</f>
        <v/>
      </c>
      <c r="X71" s="3"/>
      <c r="Y71" s="4">
        <f>IF(E71="",0,IF(AND(OR(Dashboard!$L$7="All",Q71=Dashboard!$L$7),OR(Dashboard!$T$7="All",N71=Dashboard!$T$7)),1,0))</f>
        <v>0</v>
      </c>
    </row>
    <row r="72" spans="1:25" ht="26.1" customHeight="1">
      <c r="A72" s="18"/>
      <c r="B72" s="18"/>
      <c r="C72" s="18"/>
      <c r="D72" s="18"/>
      <c r="E72" s="3"/>
      <c r="F72" s="3"/>
      <c r="G72" s="3"/>
      <c r="H72" s="3"/>
      <c r="I72" s="3"/>
      <c r="J72" s="3"/>
      <c r="K72" s="3"/>
      <c r="L72" s="3"/>
      <c r="M72" s="4" t="str">
        <f t="shared" si="4"/>
        <v/>
      </c>
      <c r="N72" s="4" t="str">
        <f>IF(M72="","",IF(ISNUMBER(M72),IF(M72&lt;'Scoring Methodology'!$F$16,"Low",IF(M72&lt;'Scoring Methodology'!$F$17,"Moderate",IF(M72&lt;'Scoring Methodology'!$F$18,"High","Critical"))),"Invalid input"))</f>
        <v/>
      </c>
      <c r="O72" s="3"/>
      <c r="P72" s="3"/>
      <c r="Q72" s="3"/>
      <c r="R72" s="3"/>
      <c r="S72" s="3"/>
      <c r="T72" s="3"/>
      <c r="U72" s="3"/>
      <c r="V72" s="4" t="str">
        <f t="shared" si="5"/>
        <v/>
      </c>
      <c r="W72" s="4" t="str">
        <f>IF(V72="","",IF(ISNUMBER(V72),IF(V72&lt;'Scoring Methodology'!$F$16,"Low",IF(V72&lt;'Scoring Methodology'!$F$17,"Moderate",IF(V72&lt;'Scoring Methodology'!$F$18,"High","Critical"))),"Invalid input"))</f>
        <v/>
      </c>
      <c r="X72" s="3"/>
      <c r="Y72" s="4">
        <f>IF(E72="",0,IF(AND(OR(Dashboard!$L$7="All",Q72=Dashboard!$L$7),OR(Dashboard!$T$7="All",N72=Dashboard!$T$7)),1,0))</f>
        <v>0</v>
      </c>
    </row>
    <row r="73" spans="1:25" ht="26.1" customHeight="1">
      <c r="A73" s="18"/>
      <c r="B73" s="18"/>
      <c r="C73" s="18"/>
      <c r="D73" s="18"/>
      <c r="E73" s="3"/>
      <c r="F73" s="3"/>
      <c r="G73" s="3"/>
      <c r="H73" s="3"/>
      <c r="I73" s="3"/>
      <c r="J73" s="3"/>
      <c r="K73" s="3"/>
      <c r="L73" s="3"/>
      <c r="M73" s="4" t="str">
        <f t="shared" si="4"/>
        <v/>
      </c>
      <c r="N73" s="4" t="str">
        <f>IF(M73="","",IF(ISNUMBER(M73),IF(M73&lt;'Scoring Methodology'!$F$16,"Low",IF(M73&lt;'Scoring Methodology'!$F$17,"Moderate",IF(M73&lt;'Scoring Methodology'!$F$18,"High","Critical"))),"Invalid input"))</f>
        <v/>
      </c>
      <c r="O73" s="3"/>
      <c r="P73" s="3"/>
      <c r="Q73" s="3"/>
      <c r="R73" s="3"/>
      <c r="S73" s="3"/>
      <c r="T73" s="3"/>
      <c r="U73" s="3"/>
      <c r="V73" s="4" t="str">
        <f t="shared" si="5"/>
        <v/>
      </c>
      <c r="W73" s="4" t="str">
        <f>IF(V73="","",IF(ISNUMBER(V73),IF(V73&lt;'Scoring Methodology'!$F$16,"Low",IF(V73&lt;'Scoring Methodology'!$F$17,"Moderate",IF(V73&lt;'Scoring Methodology'!$F$18,"High","Critical"))),"Invalid input"))</f>
        <v/>
      </c>
      <c r="X73" s="3"/>
      <c r="Y73" s="4">
        <f>IF(E73="",0,IF(AND(OR(Dashboard!$L$7="All",Q73=Dashboard!$L$7),OR(Dashboard!$T$7="All",N73=Dashboard!$T$7)),1,0))</f>
        <v>0</v>
      </c>
    </row>
    <row r="74" spans="1:25" ht="26.1" customHeight="1">
      <c r="A74" s="18"/>
      <c r="B74" s="18"/>
      <c r="C74" s="18"/>
      <c r="D74" s="18"/>
      <c r="E74" s="3"/>
      <c r="F74" s="3"/>
      <c r="G74" s="3"/>
      <c r="H74" s="3"/>
      <c r="I74" s="3"/>
      <c r="J74" s="3"/>
      <c r="K74" s="3"/>
      <c r="L74" s="3"/>
      <c r="M74" s="4" t="str">
        <f t="shared" si="4"/>
        <v/>
      </c>
      <c r="N74" s="4" t="str">
        <f>IF(M74="","",IF(ISNUMBER(M74),IF(M74&lt;'Scoring Methodology'!$F$16,"Low",IF(M74&lt;'Scoring Methodology'!$F$17,"Moderate",IF(M74&lt;'Scoring Methodology'!$F$18,"High","Critical"))),"Invalid input"))</f>
        <v/>
      </c>
      <c r="O74" s="3"/>
      <c r="P74" s="3"/>
      <c r="Q74" s="3"/>
      <c r="R74" s="3"/>
      <c r="S74" s="3"/>
      <c r="T74" s="3"/>
      <c r="U74" s="3"/>
      <c r="V74" s="4" t="str">
        <f t="shared" si="5"/>
        <v/>
      </c>
      <c r="W74" s="4" t="str">
        <f>IF(V74="","",IF(ISNUMBER(V74),IF(V74&lt;'Scoring Methodology'!$F$16,"Low",IF(V74&lt;'Scoring Methodology'!$F$17,"Moderate",IF(V74&lt;'Scoring Methodology'!$F$18,"High","Critical"))),"Invalid input"))</f>
        <v/>
      </c>
      <c r="X74" s="3"/>
      <c r="Y74" s="4">
        <f>IF(E74="",0,IF(AND(OR(Dashboard!$L$7="All",Q74=Dashboard!$L$7),OR(Dashboard!$T$7="All",N74=Dashboard!$T$7)),1,0))</f>
        <v>0</v>
      </c>
    </row>
    <row r="75" spans="1:25" ht="26.1" customHeight="1">
      <c r="A75" s="18"/>
      <c r="B75" s="18"/>
      <c r="C75" s="18"/>
      <c r="D75" s="18"/>
      <c r="E75" s="3"/>
      <c r="F75" s="3"/>
      <c r="G75" s="3"/>
      <c r="H75" s="3"/>
      <c r="I75" s="3"/>
      <c r="J75" s="3"/>
      <c r="K75" s="3"/>
      <c r="L75" s="3"/>
      <c r="M75" s="4" t="str">
        <f t="shared" si="4"/>
        <v/>
      </c>
      <c r="N75" s="4" t="str">
        <f>IF(M75="","",IF(ISNUMBER(M75),IF(M75&lt;'Scoring Methodology'!$F$16,"Low",IF(M75&lt;'Scoring Methodology'!$F$17,"Moderate",IF(M75&lt;'Scoring Methodology'!$F$18,"High","Critical"))),"Invalid input"))</f>
        <v/>
      </c>
      <c r="O75" s="3"/>
      <c r="P75" s="3"/>
      <c r="Q75" s="3"/>
      <c r="R75" s="3"/>
      <c r="S75" s="3"/>
      <c r="T75" s="3"/>
      <c r="U75" s="3"/>
      <c r="V75" s="4" t="str">
        <f t="shared" si="5"/>
        <v/>
      </c>
      <c r="W75" s="4" t="str">
        <f>IF(V75="","",IF(ISNUMBER(V75),IF(V75&lt;'Scoring Methodology'!$F$16,"Low",IF(V75&lt;'Scoring Methodology'!$F$17,"Moderate",IF(V75&lt;'Scoring Methodology'!$F$18,"High","Critical"))),"Invalid input"))</f>
        <v/>
      </c>
      <c r="X75" s="3"/>
      <c r="Y75" s="4">
        <f>IF(E75="",0,IF(AND(OR(Dashboard!$L$7="All",Q75=Dashboard!$L$7),OR(Dashboard!$T$7="All",N75=Dashboard!$T$7)),1,0))</f>
        <v>0</v>
      </c>
    </row>
    <row r="76" spans="1:25" ht="26.1" customHeight="1">
      <c r="A76" s="18"/>
      <c r="B76" s="18"/>
      <c r="C76" s="18"/>
      <c r="D76" s="18"/>
      <c r="E76" s="3"/>
      <c r="F76" s="3"/>
      <c r="G76" s="3"/>
      <c r="H76" s="3"/>
      <c r="I76" s="3"/>
      <c r="J76" s="3"/>
      <c r="K76" s="3"/>
      <c r="L76" s="3"/>
      <c r="M76" s="4" t="str">
        <f t="shared" si="4"/>
        <v/>
      </c>
      <c r="N76" s="4" t="str">
        <f>IF(M76="","",IF(ISNUMBER(M76),IF(M76&lt;'Scoring Methodology'!$F$16,"Low",IF(M76&lt;'Scoring Methodology'!$F$17,"Moderate",IF(M76&lt;'Scoring Methodology'!$F$18,"High","Critical"))),"Invalid input"))</f>
        <v/>
      </c>
      <c r="O76" s="3"/>
      <c r="P76" s="3"/>
      <c r="Q76" s="3"/>
      <c r="R76" s="3"/>
      <c r="S76" s="3"/>
      <c r="T76" s="3"/>
      <c r="U76" s="3"/>
      <c r="V76" s="4" t="str">
        <f t="shared" si="5"/>
        <v/>
      </c>
      <c r="W76" s="4" t="str">
        <f>IF(V76="","",IF(ISNUMBER(V76),IF(V76&lt;'Scoring Methodology'!$F$16,"Low",IF(V76&lt;'Scoring Methodology'!$F$17,"Moderate",IF(V76&lt;'Scoring Methodology'!$F$18,"High","Critical"))),"Invalid input"))</f>
        <v/>
      </c>
      <c r="X76" s="3"/>
      <c r="Y76" s="4">
        <f>IF(E76="",0,IF(AND(OR(Dashboard!$L$7="All",Q76=Dashboard!$L$7),OR(Dashboard!$T$7="All",N76=Dashboard!$T$7)),1,0))</f>
        <v>0</v>
      </c>
    </row>
    <row r="77" spans="1:25" ht="26.1" customHeight="1">
      <c r="A77" s="18"/>
      <c r="B77" s="18"/>
      <c r="C77" s="18"/>
      <c r="D77" s="18"/>
      <c r="E77" s="3"/>
      <c r="F77" s="3"/>
      <c r="G77" s="3"/>
      <c r="H77" s="3"/>
      <c r="I77" s="3"/>
      <c r="J77" s="3"/>
      <c r="K77" s="3"/>
      <c r="L77" s="3"/>
      <c r="M77" s="4" t="str">
        <f t="shared" si="4"/>
        <v/>
      </c>
      <c r="N77" s="4" t="str">
        <f>IF(M77="","",IF(ISNUMBER(M77),IF(M77&lt;'Scoring Methodology'!$F$16,"Low",IF(M77&lt;'Scoring Methodology'!$F$17,"Moderate",IF(M77&lt;'Scoring Methodology'!$F$18,"High","Critical"))),"Invalid input"))</f>
        <v/>
      </c>
      <c r="O77" s="3"/>
      <c r="P77" s="3"/>
      <c r="Q77" s="3"/>
      <c r="R77" s="3"/>
      <c r="S77" s="3"/>
      <c r="T77" s="3"/>
      <c r="U77" s="3"/>
      <c r="V77" s="4" t="str">
        <f t="shared" si="5"/>
        <v/>
      </c>
      <c r="W77" s="4" t="str">
        <f>IF(V77="","",IF(ISNUMBER(V77),IF(V77&lt;'Scoring Methodology'!$F$16,"Low",IF(V77&lt;'Scoring Methodology'!$F$17,"Moderate",IF(V77&lt;'Scoring Methodology'!$F$18,"High","Critical"))),"Invalid input"))</f>
        <v/>
      </c>
      <c r="X77" s="3"/>
      <c r="Y77" s="4">
        <f>IF(E77="",0,IF(AND(OR(Dashboard!$L$7="All",Q77=Dashboard!$L$7),OR(Dashboard!$T$7="All",N77=Dashboard!$T$7)),1,0))</f>
        <v>0</v>
      </c>
    </row>
    <row r="78" spans="1:25" ht="26.1" customHeight="1">
      <c r="A78" s="18"/>
      <c r="B78" s="18"/>
      <c r="C78" s="18"/>
      <c r="D78" s="18"/>
      <c r="E78" s="3"/>
      <c r="F78" s="3"/>
      <c r="G78" s="3"/>
      <c r="H78" s="3"/>
      <c r="I78" s="3"/>
      <c r="J78" s="3"/>
      <c r="K78" s="3"/>
      <c r="L78" s="3"/>
      <c r="M78" s="4" t="str">
        <f t="shared" si="4"/>
        <v/>
      </c>
      <c r="N78" s="4" t="str">
        <f>IF(M78="","",IF(ISNUMBER(M78),IF(M78&lt;'Scoring Methodology'!$F$16,"Low",IF(M78&lt;'Scoring Methodology'!$F$17,"Moderate",IF(M78&lt;'Scoring Methodology'!$F$18,"High","Critical"))),"Invalid input"))</f>
        <v/>
      </c>
      <c r="O78" s="3"/>
      <c r="P78" s="3"/>
      <c r="Q78" s="3"/>
      <c r="R78" s="3"/>
      <c r="S78" s="3"/>
      <c r="T78" s="3"/>
      <c r="U78" s="3"/>
      <c r="V78" s="4" t="str">
        <f t="shared" si="5"/>
        <v/>
      </c>
      <c r="W78" s="4" t="str">
        <f>IF(V78="","",IF(ISNUMBER(V78),IF(V78&lt;'Scoring Methodology'!$F$16,"Low",IF(V78&lt;'Scoring Methodology'!$F$17,"Moderate",IF(V78&lt;'Scoring Methodology'!$F$18,"High","Critical"))),"Invalid input"))</f>
        <v/>
      </c>
      <c r="X78" s="3"/>
      <c r="Y78" s="4">
        <f>IF(E78="",0,IF(AND(OR(Dashboard!$L$7="All",Q78=Dashboard!$L$7),OR(Dashboard!$T$7="All",N78=Dashboard!$T$7)),1,0))</f>
        <v>0</v>
      </c>
    </row>
    <row r="79" spans="1:25" ht="26.1" customHeight="1">
      <c r="A79" s="18"/>
      <c r="B79" s="18"/>
      <c r="C79" s="18"/>
      <c r="D79" s="18"/>
      <c r="E79" s="3"/>
      <c r="F79" s="3"/>
      <c r="G79" s="3"/>
      <c r="H79" s="3"/>
      <c r="I79" s="3"/>
      <c r="J79" s="3"/>
      <c r="K79" s="3"/>
      <c r="L79" s="3"/>
      <c r="M79" s="4" t="str">
        <f t="shared" si="4"/>
        <v/>
      </c>
      <c r="N79" s="4" t="str">
        <f>IF(M79="","",IF(ISNUMBER(M79),IF(M79&lt;'Scoring Methodology'!$F$16,"Low",IF(M79&lt;'Scoring Methodology'!$F$17,"Moderate",IF(M79&lt;'Scoring Methodology'!$F$18,"High","Critical"))),"Invalid input"))</f>
        <v/>
      </c>
      <c r="O79" s="3"/>
      <c r="P79" s="3"/>
      <c r="Q79" s="3"/>
      <c r="R79" s="3"/>
      <c r="S79" s="3"/>
      <c r="T79" s="3"/>
      <c r="U79" s="3"/>
      <c r="V79" s="4" t="str">
        <f t="shared" si="5"/>
        <v/>
      </c>
      <c r="W79" s="4" t="str">
        <f>IF(V79="","",IF(ISNUMBER(V79),IF(V79&lt;'Scoring Methodology'!$F$16,"Low",IF(V79&lt;'Scoring Methodology'!$F$17,"Moderate",IF(V79&lt;'Scoring Methodology'!$F$18,"High","Critical"))),"Invalid input"))</f>
        <v/>
      </c>
      <c r="X79" s="3"/>
      <c r="Y79" s="4">
        <f>IF(E79="",0,IF(AND(OR(Dashboard!$L$7="All",Q79=Dashboard!$L$7),OR(Dashboard!$T$7="All",N79=Dashboard!$T$7)),1,0))</f>
        <v>0</v>
      </c>
    </row>
    <row r="80" spans="1:25" ht="26.1" customHeight="1">
      <c r="A80" s="18"/>
      <c r="B80" s="18"/>
      <c r="C80" s="18"/>
      <c r="D80" s="18"/>
      <c r="E80" s="3"/>
      <c r="F80" s="3"/>
      <c r="G80" s="3"/>
      <c r="H80" s="3"/>
      <c r="I80" s="3"/>
      <c r="J80" s="3"/>
      <c r="K80" s="3"/>
      <c r="L80" s="3"/>
      <c r="M80" s="4" t="str">
        <f t="shared" si="4"/>
        <v/>
      </c>
      <c r="N80" s="4" t="str">
        <f>IF(M80="","",IF(ISNUMBER(M80),IF(M80&lt;'Scoring Methodology'!$F$16,"Low",IF(M80&lt;'Scoring Methodology'!$F$17,"Moderate",IF(M80&lt;'Scoring Methodology'!$F$18,"High","Critical"))),"Invalid input"))</f>
        <v/>
      </c>
      <c r="O80" s="3"/>
      <c r="P80" s="3"/>
      <c r="Q80" s="3"/>
      <c r="R80" s="3"/>
      <c r="S80" s="3"/>
      <c r="T80" s="3"/>
      <c r="U80" s="3"/>
      <c r="V80" s="4" t="str">
        <f t="shared" si="5"/>
        <v/>
      </c>
      <c r="W80" s="4" t="str">
        <f>IF(V80="","",IF(ISNUMBER(V80),IF(V80&lt;'Scoring Methodology'!$F$16,"Low",IF(V80&lt;'Scoring Methodology'!$F$17,"Moderate",IF(V80&lt;'Scoring Methodology'!$F$18,"High","Critical"))),"Invalid input"))</f>
        <v/>
      </c>
      <c r="X80" s="3"/>
      <c r="Y80" s="4">
        <f>IF(E80="",0,IF(AND(OR(Dashboard!$L$7="All",Q80=Dashboard!$L$7),OR(Dashboard!$T$7="All",N80=Dashboard!$T$7)),1,0))</f>
        <v>0</v>
      </c>
    </row>
    <row r="81" spans="1:25" ht="26.1" customHeight="1">
      <c r="A81" s="18"/>
      <c r="B81" s="18"/>
      <c r="C81" s="18"/>
      <c r="D81" s="18"/>
      <c r="E81" s="3"/>
      <c r="F81" s="3"/>
      <c r="G81" s="3"/>
      <c r="H81" s="3"/>
      <c r="I81" s="3"/>
      <c r="J81" s="3"/>
      <c r="K81" s="3"/>
      <c r="L81" s="3"/>
      <c r="M81" s="4" t="str">
        <f t="shared" si="4"/>
        <v/>
      </c>
      <c r="N81" s="4" t="str">
        <f>IF(M81="","",IF(ISNUMBER(M81),IF(M81&lt;'Scoring Methodology'!$F$16,"Low",IF(M81&lt;'Scoring Methodology'!$F$17,"Moderate",IF(M81&lt;'Scoring Methodology'!$F$18,"High","Critical"))),"Invalid input"))</f>
        <v/>
      </c>
      <c r="O81" s="3"/>
      <c r="P81" s="3"/>
      <c r="Q81" s="3"/>
      <c r="R81" s="3"/>
      <c r="S81" s="3"/>
      <c r="T81" s="3"/>
      <c r="U81" s="3"/>
      <c r="V81" s="4" t="str">
        <f t="shared" si="5"/>
        <v/>
      </c>
      <c r="W81" s="4" t="str">
        <f>IF(V81="","",IF(ISNUMBER(V81),IF(V81&lt;'Scoring Methodology'!$F$16,"Low",IF(V81&lt;'Scoring Methodology'!$F$17,"Moderate",IF(V81&lt;'Scoring Methodology'!$F$18,"High","Critical"))),"Invalid input"))</f>
        <v/>
      </c>
      <c r="X81" s="3"/>
      <c r="Y81" s="4">
        <f>IF(E81="",0,IF(AND(OR(Dashboard!$L$7="All",Q81=Dashboard!$L$7),OR(Dashboard!$T$7="All",N81=Dashboard!$T$7)),1,0))</f>
        <v>0</v>
      </c>
    </row>
    <row r="82" spans="1:25" ht="26.1" customHeight="1">
      <c r="A82" s="18"/>
      <c r="B82" s="18"/>
      <c r="C82" s="18"/>
      <c r="D82" s="18"/>
      <c r="E82" s="3"/>
      <c r="F82" s="3"/>
      <c r="G82" s="3"/>
      <c r="H82" s="3"/>
      <c r="I82" s="3"/>
      <c r="J82" s="3"/>
      <c r="K82" s="3"/>
      <c r="L82" s="3"/>
      <c r="M82" s="4" t="str">
        <f t="shared" si="4"/>
        <v/>
      </c>
      <c r="N82" s="4" t="str">
        <f>IF(M82="","",IF(ISNUMBER(M82),IF(M82&lt;'Scoring Methodology'!$F$16,"Low",IF(M82&lt;'Scoring Methodology'!$F$17,"Moderate",IF(M82&lt;'Scoring Methodology'!$F$18,"High","Critical"))),"Invalid input"))</f>
        <v/>
      </c>
      <c r="O82" s="3"/>
      <c r="P82" s="3"/>
      <c r="Q82" s="3"/>
      <c r="R82" s="3"/>
      <c r="S82" s="3"/>
      <c r="T82" s="3"/>
      <c r="U82" s="3"/>
      <c r="V82" s="4" t="str">
        <f t="shared" si="5"/>
        <v/>
      </c>
      <c r="W82" s="4" t="str">
        <f>IF(V82="","",IF(ISNUMBER(V82),IF(V82&lt;'Scoring Methodology'!$F$16,"Low",IF(V82&lt;'Scoring Methodology'!$F$17,"Moderate",IF(V82&lt;'Scoring Methodology'!$F$18,"High","Critical"))),"Invalid input"))</f>
        <v/>
      </c>
      <c r="X82" s="3"/>
      <c r="Y82" s="4">
        <f>IF(E82="",0,IF(AND(OR(Dashboard!$L$7="All",Q82=Dashboard!$L$7),OR(Dashboard!$T$7="All",N82=Dashboard!$T$7)),1,0))</f>
        <v>0</v>
      </c>
    </row>
    <row r="83" spans="1:25" ht="26.1" customHeight="1">
      <c r="A83" s="18"/>
      <c r="B83" s="18"/>
      <c r="C83" s="18"/>
      <c r="D83" s="18"/>
      <c r="E83" s="3"/>
      <c r="F83" s="3"/>
      <c r="G83" s="3"/>
      <c r="H83" s="3"/>
      <c r="I83" s="3"/>
      <c r="J83" s="3"/>
      <c r="K83" s="3"/>
      <c r="L83" s="3"/>
      <c r="M83" s="4" t="str">
        <f t="shared" si="4"/>
        <v/>
      </c>
      <c r="N83" s="4" t="str">
        <f>IF(M83="","",IF(ISNUMBER(M83),IF(M83&lt;'Scoring Methodology'!$F$16,"Low",IF(M83&lt;'Scoring Methodology'!$F$17,"Moderate",IF(M83&lt;'Scoring Methodology'!$F$18,"High","Critical"))),"Invalid input"))</f>
        <v/>
      </c>
      <c r="O83" s="3"/>
      <c r="P83" s="3"/>
      <c r="Q83" s="3"/>
      <c r="R83" s="3"/>
      <c r="S83" s="3"/>
      <c r="T83" s="3"/>
      <c r="U83" s="3"/>
      <c r="V83" s="4" t="str">
        <f t="shared" si="5"/>
        <v/>
      </c>
      <c r="W83" s="4" t="str">
        <f>IF(V83="","",IF(ISNUMBER(V83),IF(V83&lt;'Scoring Methodology'!$F$16,"Low",IF(V83&lt;'Scoring Methodology'!$F$17,"Moderate",IF(V83&lt;'Scoring Methodology'!$F$18,"High","Critical"))),"Invalid input"))</f>
        <v/>
      </c>
      <c r="X83" s="3"/>
      <c r="Y83" s="4">
        <f>IF(E83="",0,IF(AND(OR(Dashboard!$L$7="All",Q83=Dashboard!$L$7),OR(Dashboard!$T$7="All",N83=Dashboard!$T$7)),1,0))</f>
        <v>0</v>
      </c>
    </row>
    <row r="84" spans="1:25" ht="26.1" customHeight="1">
      <c r="A84" s="18"/>
      <c r="B84" s="18"/>
      <c r="C84" s="18"/>
      <c r="D84" s="18"/>
      <c r="E84" s="3"/>
      <c r="F84" s="3"/>
      <c r="G84" s="3"/>
      <c r="H84" s="3"/>
      <c r="I84" s="3"/>
      <c r="J84" s="3"/>
      <c r="K84" s="3"/>
      <c r="L84" s="3"/>
      <c r="M84" s="4" t="str">
        <f t="shared" si="4"/>
        <v/>
      </c>
      <c r="N84" s="4" t="str">
        <f>IF(M84="","",IF(ISNUMBER(M84),IF(M84&lt;'Scoring Methodology'!$F$16,"Low",IF(M84&lt;'Scoring Methodology'!$F$17,"Moderate",IF(M84&lt;'Scoring Methodology'!$F$18,"High","Critical"))),"Invalid input"))</f>
        <v/>
      </c>
      <c r="O84" s="3"/>
      <c r="P84" s="3"/>
      <c r="Q84" s="3"/>
      <c r="R84" s="3"/>
      <c r="S84" s="3"/>
      <c r="T84" s="3"/>
      <c r="U84" s="3"/>
      <c r="V84" s="4" t="str">
        <f t="shared" si="5"/>
        <v/>
      </c>
      <c r="W84" s="4" t="str">
        <f>IF(V84="","",IF(ISNUMBER(V84),IF(V84&lt;'Scoring Methodology'!$F$16,"Low",IF(V84&lt;'Scoring Methodology'!$F$17,"Moderate",IF(V84&lt;'Scoring Methodology'!$F$18,"High","Critical"))),"Invalid input"))</f>
        <v/>
      </c>
      <c r="X84" s="3"/>
      <c r="Y84" s="4">
        <f>IF(E84="",0,IF(AND(OR(Dashboard!$L$7="All",Q84=Dashboard!$L$7),OR(Dashboard!$T$7="All",N84=Dashboard!$T$7)),1,0))</f>
        <v>0</v>
      </c>
    </row>
    <row r="85" spans="1:25" ht="26.1" customHeight="1">
      <c r="A85" s="18"/>
      <c r="B85" s="18"/>
      <c r="C85" s="18"/>
      <c r="D85" s="18"/>
      <c r="E85" s="3"/>
      <c r="F85" s="3"/>
      <c r="G85" s="3"/>
      <c r="H85" s="3"/>
      <c r="I85" s="3"/>
      <c r="J85" s="3"/>
      <c r="K85" s="3"/>
      <c r="L85" s="3"/>
      <c r="M85" s="4" t="str">
        <f t="shared" si="4"/>
        <v/>
      </c>
      <c r="N85" s="4" t="str">
        <f>IF(M85="","",IF(ISNUMBER(M85),IF(M85&lt;'Scoring Methodology'!$F$16,"Low",IF(M85&lt;'Scoring Methodology'!$F$17,"Moderate",IF(M85&lt;'Scoring Methodology'!$F$18,"High","Critical"))),"Invalid input"))</f>
        <v/>
      </c>
      <c r="O85" s="3"/>
      <c r="P85" s="3"/>
      <c r="Q85" s="3"/>
      <c r="R85" s="3"/>
      <c r="S85" s="3"/>
      <c r="T85" s="3"/>
      <c r="U85" s="3"/>
      <c r="V85" s="4" t="str">
        <f t="shared" si="5"/>
        <v/>
      </c>
      <c r="W85" s="4" t="str">
        <f>IF(V85="","",IF(ISNUMBER(V85),IF(V85&lt;'Scoring Methodology'!$F$16,"Low",IF(V85&lt;'Scoring Methodology'!$F$17,"Moderate",IF(V85&lt;'Scoring Methodology'!$F$18,"High","Critical"))),"Invalid input"))</f>
        <v/>
      </c>
      <c r="X85" s="3"/>
      <c r="Y85" s="4">
        <f>IF(E85="",0,IF(AND(OR(Dashboard!$L$7="All",Q85=Dashboard!$L$7),OR(Dashboard!$T$7="All",N85=Dashboard!$T$7)),1,0))</f>
        <v>0</v>
      </c>
    </row>
    <row r="86" spans="1:25" ht="26.1" customHeight="1">
      <c r="A86" s="18"/>
      <c r="B86" s="18"/>
      <c r="C86" s="18"/>
      <c r="D86" s="18"/>
      <c r="E86" s="3"/>
      <c r="F86" s="3"/>
      <c r="G86" s="3"/>
      <c r="H86" s="3"/>
      <c r="I86" s="3"/>
      <c r="J86" s="3"/>
      <c r="K86" s="3"/>
      <c r="L86" s="3"/>
      <c r="M86" s="4" t="str">
        <f t="shared" si="4"/>
        <v/>
      </c>
      <c r="N86" s="4" t="str">
        <f>IF(M86="","",IF(ISNUMBER(M86),IF(M86&lt;'Scoring Methodology'!$F$16,"Low",IF(M86&lt;'Scoring Methodology'!$F$17,"Moderate",IF(M86&lt;'Scoring Methodology'!$F$18,"High","Critical"))),"Invalid input"))</f>
        <v/>
      </c>
      <c r="O86" s="3"/>
      <c r="P86" s="3"/>
      <c r="Q86" s="3"/>
      <c r="R86" s="3"/>
      <c r="S86" s="3"/>
      <c r="T86" s="3"/>
      <c r="U86" s="3"/>
      <c r="V86" s="4" t="str">
        <f t="shared" si="5"/>
        <v/>
      </c>
      <c r="W86" s="4" t="str">
        <f>IF(V86="","",IF(ISNUMBER(V86),IF(V86&lt;'Scoring Methodology'!$F$16,"Low",IF(V86&lt;'Scoring Methodology'!$F$17,"Moderate",IF(V86&lt;'Scoring Methodology'!$F$18,"High","Critical"))),"Invalid input"))</f>
        <v/>
      </c>
      <c r="X86" s="3"/>
      <c r="Y86" s="4">
        <f>IF(E86="",0,IF(AND(OR(Dashboard!$L$7="All",Q86=Dashboard!$L$7),OR(Dashboard!$T$7="All",N86=Dashboard!$T$7)),1,0))</f>
        <v>0</v>
      </c>
    </row>
    <row r="87" spans="1:25" ht="26.1" customHeight="1">
      <c r="A87" s="18"/>
      <c r="B87" s="18"/>
      <c r="C87" s="18"/>
      <c r="D87" s="18"/>
      <c r="E87" s="3"/>
      <c r="F87" s="3"/>
      <c r="G87" s="3"/>
      <c r="H87" s="3"/>
      <c r="I87" s="3"/>
      <c r="J87" s="3"/>
      <c r="K87" s="3"/>
      <c r="L87" s="3"/>
      <c r="M87" s="4" t="str">
        <f t="shared" si="4"/>
        <v/>
      </c>
      <c r="N87" s="4" t="str">
        <f>IF(M87="","",IF(ISNUMBER(M87),IF(M87&lt;'Scoring Methodology'!$F$16,"Low",IF(M87&lt;'Scoring Methodology'!$F$17,"Moderate",IF(M87&lt;'Scoring Methodology'!$F$18,"High","Critical"))),"Invalid input"))</f>
        <v/>
      </c>
      <c r="O87" s="3"/>
      <c r="P87" s="3"/>
      <c r="Q87" s="3"/>
      <c r="R87" s="3"/>
      <c r="S87" s="3"/>
      <c r="T87" s="3"/>
      <c r="U87" s="3"/>
      <c r="V87" s="4" t="str">
        <f t="shared" si="5"/>
        <v/>
      </c>
      <c r="W87" s="4" t="str">
        <f>IF(V87="","",IF(ISNUMBER(V87),IF(V87&lt;'Scoring Methodology'!$F$16,"Low",IF(V87&lt;'Scoring Methodology'!$F$17,"Moderate",IF(V87&lt;'Scoring Methodology'!$F$18,"High","Critical"))),"Invalid input"))</f>
        <v/>
      </c>
      <c r="X87" s="3"/>
      <c r="Y87" s="4">
        <f>IF(E87="",0,IF(AND(OR(Dashboard!$L$7="All",Q87=Dashboard!$L$7),OR(Dashboard!$T$7="All",N87=Dashboard!$T$7)),1,0))</f>
        <v>0</v>
      </c>
    </row>
    <row r="88" spans="1:25" ht="26.1" customHeight="1">
      <c r="A88" s="18"/>
      <c r="B88" s="18"/>
      <c r="C88" s="18"/>
      <c r="D88" s="18"/>
      <c r="E88" s="3"/>
      <c r="F88" s="3"/>
      <c r="G88" s="3"/>
      <c r="H88" s="3"/>
      <c r="I88" s="3"/>
      <c r="J88" s="3"/>
      <c r="K88" s="3"/>
      <c r="L88" s="3"/>
      <c r="M88" s="4" t="str">
        <f t="shared" si="4"/>
        <v/>
      </c>
      <c r="N88" s="4" t="str">
        <f>IF(M88="","",IF(ISNUMBER(M88),IF(M88&lt;'Scoring Methodology'!$F$16,"Low",IF(M88&lt;'Scoring Methodology'!$F$17,"Moderate",IF(M88&lt;'Scoring Methodology'!$F$18,"High","Critical"))),"Invalid input"))</f>
        <v/>
      </c>
      <c r="O88" s="3"/>
      <c r="P88" s="3"/>
      <c r="Q88" s="3"/>
      <c r="R88" s="3"/>
      <c r="S88" s="3"/>
      <c r="T88" s="3"/>
      <c r="U88" s="3"/>
      <c r="V88" s="4" t="str">
        <f t="shared" si="5"/>
        <v/>
      </c>
      <c r="W88" s="4" t="str">
        <f>IF(V88="","",IF(ISNUMBER(V88),IF(V88&lt;'Scoring Methodology'!$F$16,"Low",IF(V88&lt;'Scoring Methodology'!$F$17,"Moderate",IF(V88&lt;'Scoring Methodology'!$F$18,"High","Critical"))),"Invalid input"))</f>
        <v/>
      </c>
      <c r="X88" s="3"/>
      <c r="Y88" s="4">
        <f>IF(E88="",0,IF(AND(OR(Dashboard!$L$7="All",Q88=Dashboard!$L$7),OR(Dashboard!$T$7="All",N88=Dashboard!$T$7)),1,0))</f>
        <v>0</v>
      </c>
    </row>
    <row r="89" spans="1:25" ht="26.1" customHeight="1">
      <c r="A89" s="18"/>
      <c r="B89" s="18"/>
      <c r="C89" s="18"/>
      <c r="D89" s="18"/>
      <c r="E89" s="3"/>
      <c r="F89" s="3"/>
      <c r="G89" s="3"/>
      <c r="H89" s="3"/>
      <c r="I89" s="3"/>
      <c r="J89" s="3"/>
      <c r="K89" s="3"/>
      <c r="L89" s="3"/>
      <c r="M89" s="4" t="str">
        <f t="shared" si="4"/>
        <v/>
      </c>
      <c r="N89" s="4" t="str">
        <f>IF(M89="","",IF(ISNUMBER(M89),IF(M89&lt;'Scoring Methodology'!$F$16,"Low",IF(M89&lt;'Scoring Methodology'!$F$17,"Moderate",IF(M89&lt;'Scoring Methodology'!$F$18,"High","Critical"))),"Invalid input"))</f>
        <v/>
      </c>
      <c r="O89" s="3"/>
      <c r="P89" s="3"/>
      <c r="Q89" s="3"/>
      <c r="R89" s="3"/>
      <c r="S89" s="3"/>
      <c r="T89" s="3"/>
      <c r="U89" s="3"/>
      <c r="V89" s="4" t="str">
        <f t="shared" si="5"/>
        <v/>
      </c>
      <c r="W89" s="4" t="str">
        <f>IF(V89="","",IF(ISNUMBER(V89),IF(V89&lt;'Scoring Methodology'!$F$16,"Low",IF(V89&lt;'Scoring Methodology'!$F$17,"Moderate",IF(V89&lt;'Scoring Methodology'!$F$18,"High","Critical"))),"Invalid input"))</f>
        <v/>
      </c>
      <c r="X89" s="3"/>
      <c r="Y89" s="4">
        <f>IF(E89="",0,IF(AND(OR(Dashboard!$L$7="All",Q89=Dashboard!$L$7),OR(Dashboard!$T$7="All",N89=Dashboard!$T$7)),1,0))</f>
        <v>0</v>
      </c>
    </row>
    <row r="90" spans="1:25" ht="26.1" customHeight="1">
      <c r="A90" s="18"/>
      <c r="B90" s="18"/>
      <c r="C90" s="18"/>
      <c r="D90" s="18"/>
      <c r="E90" s="3"/>
      <c r="F90" s="3"/>
      <c r="G90" s="3"/>
      <c r="H90" s="3"/>
      <c r="I90" s="3"/>
      <c r="J90" s="3"/>
      <c r="K90" s="3"/>
      <c r="L90" s="3"/>
      <c r="M90" s="4" t="str">
        <f t="shared" si="4"/>
        <v/>
      </c>
      <c r="N90" s="4" t="str">
        <f>IF(M90="","",IF(ISNUMBER(M90),IF(M90&lt;'Scoring Methodology'!$F$16,"Low",IF(M90&lt;'Scoring Methodology'!$F$17,"Moderate",IF(M90&lt;'Scoring Methodology'!$F$18,"High","Critical"))),"Invalid input"))</f>
        <v/>
      </c>
      <c r="O90" s="3"/>
      <c r="P90" s="3"/>
      <c r="Q90" s="3"/>
      <c r="R90" s="3"/>
      <c r="S90" s="3"/>
      <c r="T90" s="3"/>
      <c r="U90" s="3"/>
      <c r="V90" s="4" t="str">
        <f t="shared" si="5"/>
        <v/>
      </c>
      <c r="W90" s="4" t="str">
        <f>IF(V90="","",IF(ISNUMBER(V90),IF(V90&lt;'Scoring Methodology'!$F$16,"Low",IF(V90&lt;'Scoring Methodology'!$F$17,"Moderate",IF(V90&lt;'Scoring Methodology'!$F$18,"High","Critical"))),"Invalid input"))</f>
        <v/>
      </c>
      <c r="X90" s="3"/>
      <c r="Y90" s="4">
        <f>IF(E90="",0,IF(AND(OR(Dashboard!$L$7="All",Q90=Dashboard!$L$7),OR(Dashboard!$T$7="All",N90=Dashboard!$T$7)),1,0))</f>
        <v>0</v>
      </c>
    </row>
    <row r="91" spans="1:25" ht="26.1" customHeight="1">
      <c r="A91" s="18"/>
      <c r="B91" s="18"/>
      <c r="C91" s="18"/>
      <c r="D91" s="18"/>
      <c r="E91" s="3"/>
      <c r="F91" s="3"/>
      <c r="G91" s="3"/>
      <c r="H91" s="3"/>
      <c r="I91" s="3"/>
      <c r="J91" s="3"/>
      <c r="K91" s="3"/>
      <c r="L91" s="3"/>
      <c r="M91" s="4" t="str">
        <f t="shared" si="4"/>
        <v/>
      </c>
      <c r="N91" s="4" t="str">
        <f>IF(M91="","",IF(ISNUMBER(M91),IF(M91&lt;'Scoring Methodology'!$F$16,"Low",IF(M91&lt;'Scoring Methodology'!$F$17,"Moderate",IF(M91&lt;'Scoring Methodology'!$F$18,"High","Critical"))),"Invalid input"))</f>
        <v/>
      </c>
      <c r="O91" s="3"/>
      <c r="P91" s="3"/>
      <c r="Q91" s="3"/>
      <c r="R91" s="3"/>
      <c r="S91" s="3"/>
      <c r="T91" s="3"/>
      <c r="U91" s="3"/>
      <c r="V91" s="4" t="str">
        <f t="shared" si="5"/>
        <v/>
      </c>
      <c r="W91" s="4" t="str">
        <f>IF(V91="","",IF(ISNUMBER(V91),IF(V91&lt;'Scoring Methodology'!$F$16,"Low",IF(V91&lt;'Scoring Methodology'!$F$17,"Moderate",IF(V91&lt;'Scoring Methodology'!$F$18,"High","Critical"))),"Invalid input"))</f>
        <v/>
      </c>
      <c r="X91" s="3"/>
      <c r="Y91" s="4">
        <f>IF(E91="",0,IF(AND(OR(Dashboard!$L$7="All",Q91=Dashboard!$L$7),OR(Dashboard!$T$7="All",N91=Dashboard!$T$7)),1,0))</f>
        <v>0</v>
      </c>
    </row>
    <row r="92" spans="1:25" ht="26.1" customHeight="1">
      <c r="A92" s="18"/>
      <c r="B92" s="18"/>
      <c r="C92" s="18"/>
      <c r="D92" s="18"/>
      <c r="E92" s="3"/>
      <c r="F92" s="3"/>
      <c r="G92" s="3"/>
      <c r="H92" s="3"/>
      <c r="I92" s="3"/>
      <c r="J92" s="3"/>
      <c r="K92" s="3"/>
      <c r="L92" s="3"/>
      <c r="M92" s="4" t="str">
        <f t="shared" si="4"/>
        <v/>
      </c>
      <c r="N92" s="4" t="str">
        <f>IF(M92="","",IF(ISNUMBER(M92),IF(M92&lt;'Scoring Methodology'!$F$16,"Low",IF(M92&lt;'Scoring Methodology'!$F$17,"Moderate",IF(M92&lt;'Scoring Methodology'!$F$18,"High","Critical"))),"Invalid input"))</f>
        <v/>
      </c>
      <c r="O92" s="3"/>
      <c r="P92" s="3"/>
      <c r="Q92" s="3"/>
      <c r="R92" s="3"/>
      <c r="S92" s="3"/>
      <c r="T92" s="3"/>
      <c r="U92" s="3"/>
      <c r="V92" s="4" t="str">
        <f t="shared" si="5"/>
        <v/>
      </c>
      <c r="W92" s="4" t="str">
        <f>IF(V92="","",IF(ISNUMBER(V92),IF(V92&lt;'Scoring Methodology'!$F$16,"Low",IF(V92&lt;'Scoring Methodology'!$F$17,"Moderate",IF(V92&lt;'Scoring Methodology'!$F$18,"High","Critical"))),"Invalid input"))</f>
        <v/>
      </c>
      <c r="X92" s="3"/>
      <c r="Y92" s="4">
        <f>IF(E92="",0,IF(AND(OR(Dashboard!$L$7="All",Q92=Dashboard!$L$7),OR(Dashboard!$T$7="All",N92=Dashboard!$T$7)),1,0))</f>
        <v>0</v>
      </c>
    </row>
    <row r="93" spans="1:25" ht="26.1" customHeight="1">
      <c r="A93" s="18"/>
      <c r="B93" s="18"/>
      <c r="C93" s="18"/>
      <c r="D93" s="18"/>
      <c r="E93" s="3"/>
      <c r="F93" s="3"/>
      <c r="G93" s="3"/>
      <c r="H93" s="3"/>
      <c r="I93" s="3"/>
      <c r="J93" s="3"/>
      <c r="K93" s="3"/>
      <c r="L93" s="3"/>
      <c r="M93" s="4" t="str">
        <f t="shared" si="4"/>
        <v/>
      </c>
      <c r="N93" s="4" t="str">
        <f>IF(M93="","",IF(ISNUMBER(M93),IF(M93&lt;'Scoring Methodology'!$F$16,"Low",IF(M93&lt;'Scoring Methodology'!$F$17,"Moderate",IF(M93&lt;'Scoring Methodology'!$F$18,"High","Critical"))),"Invalid input"))</f>
        <v/>
      </c>
      <c r="O93" s="3"/>
      <c r="P93" s="3"/>
      <c r="Q93" s="3"/>
      <c r="R93" s="3"/>
      <c r="S93" s="3"/>
      <c r="T93" s="3"/>
      <c r="U93" s="3"/>
      <c r="V93" s="4" t="str">
        <f t="shared" si="5"/>
        <v/>
      </c>
      <c r="W93" s="4" t="str">
        <f>IF(V93="","",IF(ISNUMBER(V93),IF(V93&lt;'Scoring Methodology'!$F$16,"Low",IF(V93&lt;'Scoring Methodology'!$F$17,"Moderate",IF(V93&lt;'Scoring Methodology'!$F$18,"High","Critical"))),"Invalid input"))</f>
        <v/>
      </c>
      <c r="X93" s="3"/>
      <c r="Y93" s="4">
        <f>IF(E93="",0,IF(AND(OR(Dashboard!$L$7="All",Q93=Dashboard!$L$7),OR(Dashboard!$T$7="All",N93=Dashboard!$T$7)),1,0))</f>
        <v>0</v>
      </c>
    </row>
    <row r="94" spans="1:25" ht="26.1" customHeight="1">
      <c r="A94" s="18"/>
      <c r="B94" s="18"/>
      <c r="C94" s="18"/>
      <c r="D94" s="18"/>
      <c r="E94" s="3"/>
      <c r="F94" s="3"/>
      <c r="G94" s="3"/>
      <c r="H94" s="3"/>
      <c r="I94" s="3"/>
      <c r="J94" s="3"/>
      <c r="K94" s="3"/>
      <c r="L94" s="3"/>
      <c r="M94" s="4" t="str">
        <f t="shared" si="4"/>
        <v/>
      </c>
      <c r="N94" s="4" t="str">
        <f>IF(M94="","",IF(ISNUMBER(M94),IF(M94&lt;'Scoring Methodology'!$F$16,"Low",IF(M94&lt;'Scoring Methodology'!$F$17,"Moderate",IF(M94&lt;'Scoring Methodology'!$F$18,"High","Critical"))),"Invalid input"))</f>
        <v/>
      </c>
      <c r="O94" s="3"/>
      <c r="P94" s="3"/>
      <c r="Q94" s="3"/>
      <c r="R94" s="3"/>
      <c r="S94" s="3"/>
      <c r="T94" s="3"/>
      <c r="U94" s="3"/>
      <c r="V94" s="4" t="str">
        <f t="shared" si="5"/>
        <v/>
      </c>
      <c r="W94" s="4" t="str">
        <f>IF(V94="","",IF(ISNUMBER(V94),IF(V94&lt;'Scoring Methodology'!$F$16,"Low",IF(V94&lt;'Scoring Methodology'!$F$17,"Moderate",IF(V94&lt;'Scoring Methodology'!$F$18,"High","Critical"))),"Invalid input"))</f>
        <v/>
      </c>
      <c r="X94" s="3"/>
      <c r="Y94" s="4">
        <f>IF(E94="",0,IF(AND(OR(Dashboard!$L$7="All",Q94=Dashboard!$L$7),OR(Dashboard!$T$7="All",N94=Dashboard!$T$7)),1,0))</f>
        <v>0</v>
      </c>
    </row>
    <row r="95" spans="1:25" ht="26.1" customHeight="1">
      <c r="A95" s="18"/>
      <c r="B95" s="18"/>
      <c r="C95" s="18"/>
      <c r="D95" s="18"/>
      <c r="E95" s="3"/>
      <c r="F95" s="3"/>
      <c r="G95" s="3"/>
      <c r="H95" s="3"/>
      <c r="I95" s="3"/>
      <c r="J95" s="3"/>
      <c r="K95" s="3"/>
      <c r="L95" s="3"/>
      <c r="M95" s="4" t="str">
        <f t="shared" si="4"/>
        <v/>
      </c>
      <c r="N95" s="4" t="str">
        <f>IF(M95="","",IF(ISNUMBER(M95),IF(M95&lt;'Scoring Methodology'!$F$16,"Low",IF(M95&lt;'Scoring Methodology'!$F$17,"Moderate",IF(M95&lt;'Scoring Methodology'!$F$18,"High","Critical"))),"Invalid input"))</f>
        <v/>
      </c>
      <c r="O95" s="3"/>
      <c r="P95" s="3"/>
      <c r="Q95" s="3"/>
      <c r="R95" s="3"/>
      <c r="S95" s="3"/>
      <c r="T95" s="3"/>
      <c r="U95" s="3"/>
      <c r="V95" s="4" t="str">
        <f t="shared" si="5"/>
        <v/>
      </c>
      <c r="W95" s="4" t="str">
        <f>IF(V95="","",IF(ISNUMBER(V95),IF(V95&lt;'Scoring Methodology'!$F$16,"Low",IF(V95&lt;'Scoring Methodology'!$F$17,"Moderate",IF(V95&lt;'Scoring Methodology'!$F$18,"High","Critical"))),"Invalid input"))</f>
        <v/>
      </c>
      <c r="X95" s="3"/>
      <c r="Y95" s="4">
        <f>IF(E95="",0,IF(AND(OR(Dashboard!$L$7="All",Q95=Dashboard!$L$7),OR(Dashboard!$T$7="All",N95=Dashboard!$T$7)),1,0))</f>
        <v>0</v>
      </c>
    </row>
    <row r="96" spans="1:25" ht="26.1" customHeight="1">
      <c r="A96" s="18"/>
      <c r="B96" s="18"/>
      <c r="C96" s="18"/>
      <c r="D96" s="18"/>
      <c r="E96" s="3"/>
      <c r="F96" s="3"/>
      <c r="G96" s="3"/>
      <c r="H96" s="3"/>
      <c r="I96" s="3"/>
      <c r="J96" s="3"/>
      <c r="K96" s="3"/>
      <c r="L96" s="3"/>
      <c r="M96" s="4" t="str">
        <f t="shared" si="4"/>
        <v/>
      </c>
      <c r="N96" s="4" t="str">
        <f>IF(M96="","",IF(ISNUMBER(M96),IF(M96&lt;'Scoring Methodology'!$F$16,"Low",IF(M96&lt;'Scoring Methodology'!$F$17,"Moderate",IF(M96&lt;'Scoring Methodology'!$F$18,"High","Critical"))),"Invalid input"))</f>
        <v/>
      </c>
      <c r="O96" s="3"/>
      <c r="P96" s="3"/>
      <c r="Q96" s="3"/>
      <c r="R96" s="3"/>
      <c r="S96" s="3"/>
      <c r="T96" s="3"/>
      <c r="U96" s="3"/>
      <c r="V96" s="4" t="str">
        <f t="shared" si="5"/>
        <v/>
      </c>
      <c r="W96" s="4" t="str">
        <f>IF(V96="","",IF(ISNUMBER(V96),IF(V96&lt;'Scoring Methodology'!$F$16,"Low",IF(V96&lt;'Scoring Methodology'!$F$17,"Moderate",IF(V96&lt;'Scoring Methodology'!$F$18,"High","Critical"))),"Invalid input"))</f>
        <v/>
      </c>
      <c r="X96" s="3"/>
      <c r="Y96" s="4">
        <f>IF(E96="",0,IF(AND(OR(Dashboard!$L$7="All",Q96=Dashboard!$L$7),OR(Dashboard!$T$7="All",N96=Dashboard!$T$7)),1,0))</f>
        <v>0</v>
      </c>
    </row>
    <row r="97" spans="1:25" ht="26.1" customHeight="1">
      <c r="A97" s="18"/>
      <c r="B97" s="18"/>
      <c r="C97" s="18"/>
      <c r="D97" s="18"/>
      <c r="E97" s="3"/>
      <c r="F97" s="3"/>
      <c r="G97" s="3"/>
      <c r="H97" s="3"/>
      <c r="I97" s="3"/>
      <c r="J97" s="3"/>
      <c r="K97" s="3"/>
      <c r="L97" s="3"/>
      <c r="M97" s="4" t="str">
        <f t="shared" si="4"/>
        <v/>
      </c>
      <c r="N97" s="4" t="str">
        <f>IF(M97="","",IF(ISNUMBER(M97),IF(M97&lt;'Scoring Methodology'!$F$16,"Low",IF(M97&lt;'Scoring Methodology'!$F$17,"Moderate",IF(M97&lt;'Scoring Methodology'!$F$18,"High","Critical"))),"Invalid input"))</f>
        <v/>
      </c>
      <c r="O97" s="3"/>
      <c r="P97" s="3"/>
      <c r="Q97" s="3"/>
      <c r="R97" s="3"/>
      <c r="S97" s="3"/>
      <c r="T97" s="3"/>
      <c r="U97" s="3"/>
      <c r="V97" s="4" t="str">
        <f t="shared" si="5"/>
        <v/>
      </c>
      <c r="W97" s="4" t="str">
        <f>IF(V97="","",IF(ISNUMBER(V97),IF(V97&lt;'Scoring Methodology'!$F$16,"Low",IF(V97&lt;'Scoring Methodology'!$F$17,"Moderate",IF(V97&lt;'Scoring Methodology'!$F$18,"High","Critical"))),"Invalid input"))</f>
        <v/>
      </c>
      <c r="X97" s="3"/>
      <c r="Y97" s="4">
        <f>IF(E97="",0,IF(AND(OR(Dashboard!$L$7="All",Q97=Dashboard!$L$7),OR(Dashboard!$T$7="All",N97=Dashboard!$T$7)),1,0))</f>
        <v>0</v>
      </c>
    </row>
    <row r="98" spans="1:25" ht="26.1" customHeight="1">
      <c r="A98" s="18"/>
      <c r="B98" s="18"/>
      <c r="C98" s="18"/>
      <c r="D98" s="18"/>
      <c r="E98" s="3"/>
      <c r="F98" s="3"/>
      <c r="G98" s="3"/>
      <c r="H98" s="3"/>
      <c r="I98" s="3"/>
      <c r="J98" s="3"/>
      <c r="K98" s="3"/>
      <c r="L98" s="3"/>
      <c r="M98" s="4" t="str">
        <f t="shared" si="4"/>
        <v/>
      </c>
      <c r="N98" s="4" t="str">
        <f>IF(M98="","",IF(ISNUMBER(M98),IF(M98&lt;'Scoring Methodology'!$F$16,"Low",IF(M98&lt;'Scoring Methodology'!$F$17,"Moderate",IF(M98&lt;'Scoring Methodology'!$F$18,"High","Critical"))),"Invalid input"))</f>
        <v/>
      </c>
      <c r="O98" s="3"/>
      <c r="P98" s="3"/>
      <c r="Q98" s="3"/>
      <c r="R98" s="3"/>
      <c r="S98" s="3"/>
      <c r="T98" s="3"/>
      <c r="U98" s="3"/>
      <c r="V98" s="4" t="str">
        <f t="shared" si="5"/>
        <v/>
      </c>
      <c r="W98" s="4" t="str">
        <f>IF(V98="","",IF(ISNUMBER(V98),IF(V98&lt;'Scoring Methodology'!$F$16,"Low",IF(V98&lt;'Scoring Methodology'!$F$17,"Moderate",IF(V98&lt;'Scoring Methodology'!$F$18,"High","Critical"))),"Invalid input"))</f>
        <v/>
      </c>
      <c r="X98" s="3"/>
      <c r="Y98" s="4">
        <f>IF(E98="",0,IF(AND(OR(Dashboard!$L$7="All",Q98=Dashboard!$L$7),OR(Dashboard!$T$7="All",N98=Dashboard!$T$7)),1,0))</f>
        <v>0</v>
      </c>
    </row>
    <row r="99" spans="1:25" ht="26.1" customHeight="1">
      <c r="A99" s="18"/>
      <c r="B99" s="18"/>
      <c r="C99" s="18"/>
      <c r="D99" s="18"/>
      <c r="E99" s="3"/>
      <c r="F99" s="3"/>
      <c r="G99" s="3"/>
      <c r="H99" s="3"/>
      <c r="I99" s="3"/>
      <c r="J99" s="3"/>
      <c r="K99" s="3"/>
      <c r="L99" s="3"/>
      <c r="M99" s="4" t="str">
        <f t="shared" si="4"/>
        <v/>
      </c>
      <c r="N99" s="4" t="str">
        <f>IF(M99="","",IF(ISNUMBER(M99),IF(M99&lt;'Scoring Methodology'!$F$16,"Low",IF(M99&lt;'Scoring Methodology'!$F$17,"Moderate",IF(M99&lt;'Scoring Methodology'!$F$18,"High","Critical"))),"Invalid input"))</f>
        <v/>
      </c>
      <c r="O99" s="3"/>
      <c r="P99" s="3"/>
      <c r="Q99" s="3"/>
      <c r="R99" s="3"/>
      <c r="S99" s="3"/>
      <c r="T99" s="3"/>
      <c r="U99" s="3"/>
      <c r="V99" s="4" t="str">
        <f t="shared" si="5"/>
        <v/>
      </c>
      <c r="W99" s="4" t="str">
        <f>IF(V99="","",IF(ISNUMBER(V99),IF(V99&lt;'Scoring Methodology'!$F$16,"Low",IF(V99&lt;'Scoring Methodology'!$F$17,"Moderate",IF(V99&lt;'Scoring Methodology'!$F$18,"High","Critical"))),"Invalid input"))</f>
        <v/>
      </c>
      <c r="X99" s="3"/>
      <c r="Y99" s="4">
        <f>IF(E99="",0,IF(AND(OR(Dashboard!$L$7="All",Q99=Dashboard!$L$7),OR(Dashboard!$T$7="All",N99=Dashboard!$T$7)),1,0))</f>
        <v>0</v>
      </c>
    </row>
    <row r="100" spans="1:25" ht="26.1" customHeight="1">
      <c r="A100" s="18"/>
      <c r="B100" s="18"/>
      <c r="C100" s="18"/>
      <c r="D100" s="18"/>
      <c r="E100" s="3"/>
      <c r="F100" s="3"/>
      <c r="G100" s="3"/>
      <c r="H100" s="3"/>
      <c r="I100" s="3"/>
      <c r="J100" s="3"/>
      <c r="K100" s="3"/>
      <c r="L100" s="3"/>
      <c r="M100" s="4" t="str">
        <f t="shared" si="4"/>
        <v/>
      </c>
      <c r="N100" s="4" t="str">
        <f>IF(M100="","",IF(ISNUMBER(M100),IF(M100&lt;'Scoring Methodology'!$F$16,"Low",IF(M100&lt;'Scoring Methodology'!$F$17,"Moderate",IF(M100&lt;'Scoring Methodology'!$F$18,"High","Critical"))),"Invalid input"))</f>
        <v/>
      </c>
      <c r="O100" s="3"/>
      <c r="P100" s="3"/>
      <c r="Q100" s="3"/>
      <c r="R100" s="3"/>
      <c r="S100" s="3"/>
      <c r="T100" s="3"/>
      <c r="U100" s="3"/>
      <c r="V100" s="4" t="str">
        <f t="shared" si="5"/>
        <v/>
      </c>
      <c r="W100" s="4" t="str">
        <f>IF(V100="","",IF(ISNUMBER(V100),IF(V100&lt;'Scoring Methodology'!$F$16,"Low",IF(V100&lt;'Scoring Methodology'!$F$17,"Moderate",IF(V100&lt;'Scoring Methodology'!$F$18,"High","Critical"))),"Invalid input"))</f>
        <v/>
      </c>
      <c r="X100" s="3"/>
      <c r="Y100" s="4">
        <f>IF(E100="",0,IF(AND(OR(Dashboard!$L$7="All",Q100=Dashboard!$L$7),OR(Dashboard!$T$7="All",N100=Dashboard!$T$7)),1,0))</f>
        <v>0</v>
      </c>
    </row>
    <row r="101" spans="1:25" ht="26.1" customHeight="1">
      <c r="A101" s="18"/>
      <c r="B101" s="18"/>
      <c r="C101" s="18"/>
      <c r="D101" s="18"/>
      <c r="E101" s="3"/>
      <c r="F101" s="3"/>
      <c r="G101" s="3"/>
      <c r="H101" s="3"/>
      <c r="I101" s="3"/>
      <c r="J101" s="3"/>
      <c r="K101" s="3"/>
      <c r="L101" s="3"/>
      <c r="M101" s="4" t="str">
        <f t="shared" si="4"/>
        <v/>
      </c>
      <c r="N101" s="4" t="str">
        <f>IF(M101="","",IF(ISNUMBER(M101),IF(M101&lt;'Scoring Methodology'!$F$16,"Low",IF(M101&lt;'Scoring Methodology'!$F$17,"Moderate",IF(M101&lt;'Scoring Methodology'!$F$18,"High","Critical"))),"Invalid input"))</f>
        <v/>
      </c>
      <c r="O101" s="3"/>
      <c r="P101" s="3"/>
      <c r="Q101" s="3"/>
      <c r="R101" s="3"/>
      <c r="S101" s="3"/>
      <c r="T101" s="3"/>
      <c r="U101" s="3"/>
      <c r="V101" s="4" t="str">
        <f t="shared" si="5"/>
        <v/>
      </c>
      <c r="W101" s="4" t="str">
        <f>IF(V101="","",IF(ISNUMBER(V101),IF(V101&lt;'Scoring Methodology'!$F$16,"Low",IF(V101&lt;'Scoring Methodology'!$F$17,"Moderate",IF(V101&lt;'Scoring Methodology'!$F$18,"High","Critical"))),"Invalid input"))</f>
        <v/>
      </c>
      <c r="X101" s="3"/>
      <c r="Y101" s="4">
        <f>IF(E101="",0,IF(AND(OR(Dashboard!$L$7="All",Q101=Dashboard!$L$7),OR(Dashboard!$T$7="All",N101=Dashboard!$T$7)),1,0))</f>
        <v>0</v>
      </c>
    </row>
    <row r="102" spans="1:25" ht="26.1" customHeight="1">
      <c r="A102" s="18"/>
      <c r="B102" s="18"/>
      <c r="C102" s="18"/>
      <c r="D102" s="18"/>
      <c r="E102" s="3"/>
      <c r="F102" s="3"/>
      <c r="G102" s="3"/>
      <c r="H102" s="3"/>
      <c r="I102" s="3"/>
      <c r="J102" s="3"/>
      <c r="K102" s="3"/>
      <c r="L102" s="3"/>
      <c r="M102" s="4" t="str">
        <f t="shared" si="4"/>
        <v/>
      </c>
      <c r="N102" s="4" t="str">
        <f>IF(M102="","",IF(ISNUMBER(M102),IF(M102&lt;'Scoring Methodology'!$F$16,"Low",IF(M102&lt;'Scoring Methodology'!$F$17,"Moderate",IF(M102&lt;'Scoring Methodology'!$F$18,"High","Critical"))),"Invalid input"))</f>
        <v/>
      </c>
      <c r="O102" s="3"/>
      <c r="P102" s="3"/>
      <c r="Q102" s="3"/>
      <c r="R102" s="3"/>
      <c r="S102" s="3"/>
      <c r="T102" s="3"/>
      <c r="U102" s="3"/>
      <c r="V102" s="4" t="str">
        <f t="shared" si="5"/>
        <v/>
      </c>
      <c r="W102" s="4" t="str">
        <f>IF(V102="","",IF(ISNUMBER(V102),IF(V102&lt;'Scoring Methodology'!$F$16,"Low",IF(V102&lt;'Scoring Methodology'!$F$17,"Moderate",IF(V102&lt;'Scoring Methodology'!$F$18,"High","Critical"))),"Invalid input"))</f>
        <v/>
      </c>
      <c r="X102" s="3"/>
      <c r="Y102" s="4">
        <f>IF(E102="",0,IF(AND(OR(Dashboard!$L$7="All",Q102=Dashboard!$L$7),OR(Dashboard!$T$7="All",N102=Dashboard!$T$7)),1,0))</f>
        <v>0</v>
      </c>
    </row>
    <row r="103" spans="1:25" ht="26.1" customHeight="1">
      <c r="A103" s="18"/>
      <c r="B103" s="18"/>
      <c r="C103" s="18"/>
      <c r="D103" s="18"/>
      <c r="E103" s="3"/>
      <c r="F103" s="3"/>
      <c r="G103" s="3"/>
      <c r="H103" s="3"/>
      <c r="I103" s="3"/>
      <c r="J103" s="3"/>
      <c r="K103" s="3"/>
      <c r="L103" s="3"/>
      <c r="M103" s="4" t="str">
        <f t="shared" ref="M103:M106" si="6">IF(E103="","",IF(OR(K103="",L103=""),"",IF(AND(ISNUMBER(K103),ISNUMBER(L103),K103&gt;=1,K103&lt;=5,L103&gt;=1,L103&lt;=5,MOD(K103,1)=0,MOD(L103,1)=0),K103*L103,"Invalid input")))</f>
        <v/>
      </c>
      <c r="N103" s="4" t="str">
        <f>IF(M103="","",IF(ISNUMBER(M103),IF(M103&lt;'Scoring Methodology'!$F$16,"Low",IF(M103&lt;'Scoring Methodology'!$F$17,"Moderate",IF(M103&lt;'Scoring Methodology'!$F$18,"High","Critical"))),"Invalid input"))</f>
        <v/>
      </c>
      <c r="O103" s="3"/>
      <c r="P103" s="3"/>
      <c r="Q103" s="3"/>
      <c r="R103" s="3"/>
      <c r="S103" s="3"/>
      <c r="T103" s="3"/>
      <c r="U103" s="3"/>
      <c r="V103" s="4" t="str">
        <f t="shared" ref="V103:V106" si="7">IF(E103="","",IF(OR(T103="",U103=""),"",IF(AND(ISNUMBER(T103),ISNUMBER(U103),T103&gt;=1,T103&lt;=5,U103&gt;=1,U103&lt;=5,MOD(T103,1)=0,MOD(U103,1)=0),T103*U103,"Invalid input")))</f>
        <v/>
      </c>
      <c r="W103" s="4" t="str">
        <f>IF(V103="","",IF(ISNUMBER(V103),IF(V103&lt;'Scoring Methodology'!$F$16,"Low",IF(V103&lt;'Scoring Methodology'!$F$17,"Moderate",IF(V103&lt;'Scoring Methodology'!$F$18,"High","Critical"))),"Invalid input"))</f>
        <v/>
      </c>
      <c r="X103" s="3"/>
      <c r="Y103" s="4">
        <f>IF(E103="",0,IF(AND(OR(Dashboard!$L$7="All",Q103=Dashboard!$L$7),OR(Dashboard!$T$7="All",N103=Dashboard!$T$7)),1,0))</f>
        <v>0</v>
      </c>
    </row>
    <row r="104" spans="1:25" ht="26.1" customHeight="1">
      <c r="A104" s="18"/>
      <c r="B104" s="18"/>
      <c r="C104" s="18"/>
      <c r="D104" s="18"/>
      <c r="E104" s="3"/>
      <c r="F104" s="3"/>
      <c r="G104" s="3"/>
      <c r="H104" s="3"/>
      <c r="I104" s="3"/>
      <c r="J104" s="3"/>
      <c r="K104" s="3"/>
      <c r="L104" s="3"/>
      <c r="M104" s="4" t="str">
        <f t="shared" si="6"/>
        <v/>
      </c>
      <c r="N104" s="4" t="str">
        <f>IF(M104="","",IF(ISNUMBER(M104),IF(M104&lt;'Scoring Methodology'!$F$16,"Low",IF(M104&lt;'Scoring Methodology'!$F$17,"Moderate",IF(M104&lt;'Scoring Methodology'!$F$18,"High","Critical"))),"Invalid input"))</f>
        <v/>
      </c>
      <c r="O104" s="3"/>
      <c r="P104" s="3"/>
      <c r="Q104" s="3"/>
      <c r="R104" s="3"/>
      <c r="S104" s="3"/>
      <c r="T104" s="3"/>
      <c r="U104" s="3"/>
      <c r="V104" s="4" t="str">
        <f t="shared" si="7"/>
        <v/>
      </c>
      <c r="W104" s="4" t="str">
        <f>IF(V104="","",IF(ISNUMBER(V104),IF(V104&lt;'Scoring Methodology'!$F$16,"Low",IF(V104&lt;'Scoring Methodology'!$F$17,"Moderate",IF(V104&lt;'Scoring Methodology'!$F$18,"High","Critical"))),"Invalid input"))</f>
        <v/>
      </c>
      <c r="X104" s="3"/>
      <c r="Y104" s="4">
        <f>IF(E104="",0,IF(AND(OR(Dashboard!$L$7="All",Q104=Dashboard!$L$7),OR(Dashboard!$T$7="All",N104=Dashboard!$T$7)),1,0))</f>
        <v>0</v>
      </c>
    </row>
    <row r="105" spans="1:25" ht="26.1" customHeight="1">
      <c r="A105" s="18"/>
      <c r="B105" s="18"/>
      <c r="C105" s="18"/>
      <c r="D105" s="18"/>
      <c r="E105" s="3"/>
      <c r="F105" s="3"/>
      <c r="G105" s="3"/>
      <c r="H105" s="3"/>
      <c r="I105" s="3"/>
      <c r="J105" s="3"/>
      <c r="K105" s="3"/>
      <c r="L105" s="3"/>
      <c r="M105" s="4" t="str">
        <f t="shared" si="6"/>
        <v/>
      </c>
      <c r="N105" s="4" t="str">
        <f>IF(M105="","",IF(ISNUMBER(M105),IF(M105&lt;'Scoring Methodology'!$F$16,"Low",IF(M105&lt;'Scoring Methodology'!$F$17,"Moderate",IF(M105&lt;'Scoring Methodology'!$F$18,"High","Critical"))),"Invalid input"))</f>
        <v/>
      </c>
      <c r="O105" s="3"/>
      <c r="P105" s="3"/>
      <c r="Q105" s="3"/>
      <c r="R105" s="3"/>
      <c r="S105" s="3"/>
      <c r="T105" s="3"/>
      <c r="U105" s="3"/>
      <c r="V105" s="4" t="str">
        <f t="shared" si="7"/>
        <v/>
      </c>
      <c r="W105" s="4" t="str">
        <f>IF(V105="","",IF(ISNUMBER(V105),IF(V105&lt;'Scoring Methodology'!$F$16,"Low",IF(V105&lt;'Scoring Methodology'!$F$17,"Moderate",IF(V105&lt;'Scoring Methodology'!$F$18,"High","Critical"))),"Invalid input"))</f>
        <v/>
      </c>
      <c r="X105" s="3"/>
      <c r="Y105" s="4">
        <f>IF(E105="",0,IF(AND(OR(Dashboard!$L$7="All",Q105=Dashboard!$L$7),OR(Dashboard!$T$7="All",N105=Dashboard!$T$7)),1,0))</f>
        <v>0</v>
      </c>
    </row>
    <row r="106" spans="1:25" ht="26.1" customHeight="1">
      <c r="A106" s="18"/>
      <c r="B106" s="18"/>
      <c r="C106" s="18"/>
      <c r="D106" s="18"/>
      <c r="E106" s="3"/>
      <c r="F106" s="3"/>
      <c r="G106" s="3"/>
      <c r="H106" s="3"/>
      <c r="I106" s="3"/>
      <c r="J106" s="3"/>
      <c r="K106" s="3"/>
      <c r="L106" s="3"/>
      <c r="M106" s="4" t="str">
        <f t="shared" si="6"/>
        <v/>
      </c>
      <c r="N106" s="4" t="str">
        <f>IF(M106="","",IF(ISNUMBER(M106),IF(M106&lt;'Scoring Methodology'!$F$16,"Low",IF(M106&lt;'Scoring Methodology'!$F$17,"Moderate",IF(M106&lt;'Scoring Methodology'!$F$18,"High","Critical"))),"Invalid input"))</f>
        <v/>
      </c>
      <c r="O106" s="3"/>
      <c r="P106" s="3"/>
      <c r="Q106" s="3"/>
      <c r="R106" s="3"/>
      <c r="S106" s="3"/>
      <c r="T106" s="3"/>
      <c r="U106" s="3"/>
      <c r="V106" s="4" t="str">
        <f t="shared" si="7"/>
        <v/>
      </c>
      <c r="W106" s="4" t="str">
        <f>IF(V106="","",IF(ISNUMBER(V106),IF(V106&lt;'Scoring Methodology'!$F$16,"Low",IF(V106&lt;'Scoring Methodology'!$F$17,"Moderate",IF(V106&lt;'Scoring Methodology'!$F$18,"High","Critical"))),"Invalid input"))</f>
        <v/>
      </c>
      <c r="X106" s="3"/>
      <c r="Y106" s="4">
        <f>IF(E106="",0,IF(AND(OR(Dashboard!$L$7="All",Q106=Dashboard!$L$7),OR(Dashboard!$T$7="All",N106=Dashboard!$T$7)),1,0))</f>
        <v>0</v>
      </c>
    </row>
    <row r="107" spans="1:25">
      <c r="A107" s="18"/>
      <c r="B107" s="18"/>
      <c r="C107" s="18"/>
      <c r="D107" s="18"/>
    </row>
    <row r="108" spans="1:25">
      <c r="A108" s="18"/>
      <c r="B108" s="18"/>
      <c r="C108" s="18"/>
      <c r="D108" s="18"/>
    </row>
    <row r="109" spans="1:25">
      <c r="A109" s="18"/>
      <c r="B109" s="18"/>
      <c r="C109" s="18"/>
      <c r="D109" s="18"/>
    </row>
    <row r="110" spans="1:25">
      <c r="A110" s="18"/>
      <c r="B110" s="18"/>
      <c r="C110" s="18"/>
      <c r="D110" s="18"/>
    </row>
  </sheetData>
  <mergeCells count="1">
    <mergeCell ref="E5:Y5"/>
  </mergeCells>
  <phoneticPr fontId="36" type="noConversion"/>
  <conditionalFormatting sqref="E7:E106">
    <cfRule type="expression" dxfId="27" priority="9">
      <formula>AND(E7&lt;&gt;"",COUNTIFS($E$7:$E$106,E7)&gt;1)</formula>
    </cfRule>
  </conditionalFormatting>
  <conditionalFormatting sqref="M7:N106">
    <cfRule type="expression" dxfId="26" priority="1">
      <formula>$N7="Low"</formula>
    </cfRule>
    <cfRule type="expression" dxfId="25" priority="2">
      <formula>$N7="Moderate"</formula>
    </cfRule>
    <cfRule type="expression" dxfId="24" priority="3">
      <formula>$N7="High"</formula>
    </cfRule>
    <cfRule type="expression" dxfId="23" priority="4">
      <formula>$N7="Critical"</formula>
    </cfRule>
  </conditionalFormatting>
  <conditionalFormatting sqref="Q7:Q106">
    <cfRule type="cellIs" dxfId="22" priority="10" operator="equal">
      <formula>"Pending validation"</formula>
    </cfRule>
    <cfRule type="cellIs" dxfId="21" priority="11" operator="equal">
      <formula>"Validated"</formula>
    </cfRule>
    <cfRule type="cellIs" dxfId="20" priority="12" operator="equal">
      <formula>"Rejected"</formula>
    </cfRule>
  </conditionalFormatting>
  <conditionalFormatting sqref="V7:W106">
    <cfRule type="expression" dxfId="19" priority="5">
      <formula>$W7="Low"</formula>
    </cfRule>
    <cfRule type="expression" dxfId="18" priority="6">
      <formula>$W7="Moderate"</formula>
    </cfRule>
    <cfRule type="expression" dxfId="17" priority="7">
      <formula>$W7="High"</formula>
    </cfRule>
    <cfRule type="expression" dxfId="16" priority="8">
      <formula>$W7="Critical"</formula>
    </cfRule>
  </conditionalFormatting>
  <dataValidations count="5">
    <dataValidation type="list" allowBlank="1" showErrorMessage="1" errorTitle="Select an allowed option" error="Choose a dropdown value or leave an unknown input blank." sqref="T7:U106 K7:L106" xr:uid="{00000000-0002-0000-0100-000000000000}">
      <formula1>"1,2,3,4,5"</formula1>
    </dataValidation>
    <dataValidation type="list" allowBlank="1" showErrorMessage="1" errorTitle="Select an allowed option" error="Choose a dropdown value or leave an unknown input blank." sqref="J7:J106" xr:uid="{00000000-0002-0000-0100-000001000000}">
      <formula1>"Identity and access,Data protection,Operations,Third party,Governance,Other"</formula1>
    </dataValidation>
    <dataValidation type="list" allowBlank="1" showErrorMessage="1" errorTitle="Select an allowed option" error="Choose a dropdown value or leave an unknown input blank." sqref="P7:P106" xr:uid="{00000000-0002-0000-0100-000002000000}">
      <formula1>"Mitigate,Accept,Avoid,Transfer"</formula1>
    </dataValidation>
    <dataValidation type="list" allowBlank="1" showErrorMessage="1" errorTitle="Select an allowed option" error="Choose a dropdown value or leave an unknown input blank." sqref="Q7:Q106" xr:uid="{00000000-0002-0000-0100-000003000000}">
      <formula1>"Pending validation,Validated,Rejected"</formula1>
    </dataValidation>
    <dataValidation type="list" allowBlank="1" showErrorMessage="1" errorTitle="Select an allowed option" error="Choose a dropdown value or leave an unknown input blank." sqref="R7:R106" xr:uid="{00000000-0002-0000-0100-000004000000}">
      <formula1>"Proposed,Open,In progress,Closed"</formula1>
    </dataValidation>
  </dataValidation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2F47"/>
  </sheetPr>
  <dimension ref="A1:P110"/>
  <sheetViews>
    <sheetView showGridLines="0" zoomScale="85" zoomScaleNormal="85" workbookViewId="0">
      <pane xSplit="6" ySplit="6" topLeftCell="G7" activePane="bottomRight" state="frozen"/>
      <selection pane="topRight"/>
      <selection pane="bottomLeft"/>
      <selection pane="bottomRight"/>
    </sheetView>
  </sheetViews>
  <sheetFormatPr defaultRowHeight="14.25"/>
  <cols>
    <col min="1" max="4" width="7.25" customWidth="1"/>
    <col min="5" max="5" width="9.875" bestFit="1" customWidth="1"/>
    <col min="6" max="6" width="7.125" bestFit="1" customWidth="1"/>
    <col min="7" max="7" width="41.5" bestFit="1" customWidth="1"/>
    <col min="8" max="8" width="47.875" bestFit="1" customWidth="1"/>
    <col min="9" max="9" width="47.625" bestFit="1" customWidth="1"/>
    <col min="10" max="11" width="21" customWidth="1"/>
    <col min="12" max="12" width="12.625" bestFit="1" customWidth="1"/>
    <col min="13" max="13" width="9.125" bestFit="1" customWidth="1"/>
    <col min="14" max="15" width="16" bestFit="1" customWidth="1"/>
    <col min="16" max="16" width="47.125" bestFit="1"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44" t="s">
        <v>68</v>
      </c>
      <c r="F5" s="44"/>
      <c r="G5" s="44"/>
      <c r="H5" s="44"/>
      <c r="I5" s="44"/>
      <c r="J5" s="44"/>
      <c r="K5" s="44"/>
      <c r="L5" s="44"/>
      <c r="M5" s="44"/>
      <c r="N5" s="44"/>
      <c r="O5" s="44"/>
      <c r="P5" s="44"/>
    </row>
    <row r="6" spans="1:16" ht="45.95" customHeight="1">
      <c r="A6" s="18"/>
      <c r="B6" s="18"/>
      <c r="C6" s="18"/>
      <c r="D6" s="18"/>
      <c r="E6" s="2" t="s">
        <v>69</v>
      </c>
      <c r="F6" s="2" t="s">
        <v>29</v>
      </c>
      <c r="G6" s="2" t="s">
        <v>70</v>
      </c>
      <c r="H6" s="2" t="s">
        <v>71</v>
      </c>
      <c r="I6" s="2" t="s">
        <v>72</v>
      </c>
      <c r="J6" s="2" t="s">
        <v>73</v>
      </c>
      <c r="K6" s="2" t="s">
        <v>74</v>
      </c>
      <c r="L6" s="2" t="s">
        <v>43</v>
      </c>
      <c r="M6" s="2" t="s">
        <v>75</v>
      </c>
      <c r="N6" s="2" t="s">
        <v>76</v>
      </c>
      <c r="O6" s="2" t="s">
        <v>41</v>
      </c>
      <c r="P6" s="2" t="s">
        <v>77</v>
      </c>
    </row>
    <row r="7" spans="1:16" ht="57">
      <c r="A7" s="18"/>
      <c r="B7" s="18"/>
      <c r="C7" s="18"/>
      <c r="D7" s="18"/>
      <c r="E7" s="3" t="s">
        <v>78</v>
      </c>
      <c r="F7" s="3" t="s">
        <v>50</v>
      </c>
      <c r="G7" s="20" t="s">
        <v>79</v>
      </c>
      <c r="H7" s="20" t="s">
        <v>80</v>
      </c>
      <c r="I7" s="20" t="s">
        <v>81</v>
      </c>
      <c r="J7" s="20" t="s">
        <v>82</v>
      </c>
      <c r="K7" s="20" t="s">
        <v>82</v>
      </c>
      <c r="L7" s="20" t="s">
        <v>83</v>
      </c>
      <c r="M7" s="20"/>
      <c r="N7" s="21"/>
      <c r="O7" s="20" t="s">
        <v>58</v>
      </c>
      <c r="P7" s="20" t="s">
        <v>84</v>
      </c>
    </row>
    <row r="8" spans="1:16" ht="57">
      <c r="A8" s="18"/>
      <c r="B8" s="18"/>
      <c r="C8" s="18"/>
      <c r="D8" s="18"/>
      <c r="E8" s="3" t="s">
        <v>85</v>
      </c>
      <c r="F8" s="3" t="s">
        <v>61</v>
      </c>
      <c r="G8" s="23" t="s">
        <v>86</v>
      </c>
      <c r="H8" s="20" t="s">
        <v>87</v>
      </c>
      <c r="I8" s="20" t="s">
        <v>88</v>
      </c>
      <c r="J8" s="20" t="s">
        <v>82</v>
      </c>
      <c r="K8" s="20" t="s">
        <v>82</v>
      </c>
      <c r="L8" s="20" t="s">
        <v>89</v>
      </c>
      <c r="M8" s="20"/>
      <c r="N8" s="21"/>
      <c r="O8" s="20" t="s">
        <v>58</v>
      </c>
      <c r="P8" s="20" t="s">
        <v>90</v>
      </c>
    </row>
    <row r="9" spans="1:16" ht="128.25">
      <c r="A9" s="18"/>
      <c r="B9" s="18"/>
      <c r="C9" s="18"/>
      <c r="D9" s="18"/>
      <c r="E9" s="3" t="s">
        <v>209</v>
      </c>
      <c r="F9" s="3" t="s">
        <v>201</v>
      </c>
      <c r="G9" s="24" t="s">
        <v>210</v>
      </c>
      <c r="H9" s="3" t="s">
        <v>211</v>
      </c>
      <c r="I9" s="24" t="s">
        <v>212</v>
      </c>
      <c r="J9" s="3" t="s">
        <v>82</v>
      </c>
      <c r="K9" s="3" t="s">
        <v>82</v>
      </c>
      <c r="L9" s="20" t="s">
        <v>213</v>
      </c>
      <c r="M9" s="3"/>
      <c r="N9" s="5"/>
      <c r="O9" s="24" t="s">
        <v>58</v>
      </c>
      <c r="P9" s="24" t="s">
        <v>214</v>
      </c>
    </row>
    <row r="10" spans="1:16" ht="26.1" customHeight="1">
      <c r="A10" s="18"/>
      <c r="B10" s="18"/>
      <c r="C10" s="18"/>
      <c r="D10" s="18"/>
      <c r="E10" s="3"/>
      <c r="F10" s="3"/>
      <c r="G10" s="3"/>
      <c r="H10" s="3"/>
      <c r="I10" s="3"/>
      <c r="J10" s="3"/>
      <c r="K10" s="3"/>
      <c r="L10" s="3"/>
      <c r="M10" s="3"/>
      <c r="N10" s="5"/>
      <c r="O10" s="3"/>
      <c r="P10" s="3"/>
    </row>
    <row r="11" spans="1:16" ht="26.1" customHeight="1">
      <c r="A11" s="18"/>
      <c r="B11" s="18"/>
      <c r="C11" s="18"/>
      <c r="D11" s="18"/>
      <c r="E11" s="3"/>
      <c r="F11" s="3"/>
      <c r="G11" s="3"/>
      <c r="H11" s="3"/>
      <c r="I11" s="3"/>
      <c r="J11" s="3"/>
      <c r="K11" s="3"/>
      <c r="L11" s="3"/>
      <c r="M11" s="3"/>
      <c r="N11" s="5"/>
      <c r="O11" s="3"/>
      <c r="P11" s="3"/>
    </row>
    <row r="12" spans="1:16" ht="26.1" customHeight="1">
      <c r="A12" s="18"/>
      <c r="B12" s="18"/>
      <c r="C12" s="18"/>
      <c r="D12" s="18"/>
      <c r="E12" s="3"/>
      <c r="F12" s="3"/>
      <c r="G12" s="3"/>
      <c r="H12" s="3"/>
      <c r="I12" s="3"/>
      <c r="J12" s="3"/>
      <c r="K12" s="3"/>
      <c r="L12" s="3"/>
      <c r="M12" s="3"/>
      <c r="N12" s="5"/>
      <c r="O12" s="3"/>
      <c r="P12" s="3"/>
    </row>
    <row r="13" spans="1:16" ht="26.1" customHeight="1">
      <c r="A13" s="18"/>
      <c r="B13" s="18"/>
      <c r="C13" s="18"/>
      <c r="D13" s="18"/>
      <c r="E13" s="3"/>
      <c r="F13" s="3"/>
      <c r="G13" s="3"/>
      <c r="H13" s="3"/>
      <c r="I13" s="3"/>
      <c r="J13" s="3"/>
      <c r="K13" s="3"/>
      <c r="L13" s="3"/>
      <c r="M13" s="3"/>
      <c r="N13" s="5"/>
      <c r="O13" s="3"/>
      <c r="P13" s="3"/>
    </row>
    <row r="14" spans="1:16" ht="26.1" customHeight="1">
      <c r="A14" s="18"/>
      <c r="B14" s="18"/>
      <c r="C14" s="18"/>
      <c r="D14" s="18"/>
      <c r="E14" s="3"/>
      <c r="F14" s="3"/>
      <c r="G14" s="3"/>
      <c r="H14" s="3"/>
      <c r="I14" s="3"/>
      <c r="J14" s="3"/>
      <c r="K14" s="3"/>
      <c r="L14" s="3"/>
      <c r="M14" s="3"/>
      <c r="N14" s="5"/>
      <c r="O14" s="3"/>
      <c r="P14" s="3"/>
    </row>
    <row r="15" spans="1:16" ht="26.1" customHeight="1">
      <c r="A15" s="18"/>
      <c r="B15" s="18"/>
      <c r="C15" s="18"/>
      <c r="D15" s="18"/>
      <c r="E15" s="3"/>
      <c r="F15" s="3"/>
      <c r="G15" s="3"/>
      <c r="H15" s="3"/>
      <c r="I15" s="3"/>
      <c r="J15" s="3"/>
      <c r="K15" s="3"/>
      <c r="L15" s="3"/>
      <c r="M15" s="3"/>
      <c r="N15" s="5"/>
      <c r="O15" s="3"/>
      <c r="P15" s="3"/>
    </row>
    <row r="16" spans="1:16" ht="26.1" customHeight="1">
      <c r="A16" s="18"/>
      <c r="B16" s="18"/>
      <c r="C16" s="18"/>
      <c r="D16" s="18"/>
      <c r="E16" s="3"/>
      <c r="F16" s="3"/>
      <c r="G16" s="3"/>
      <c r="H16" s="3"/>
      <c r="I16" s="3"/>
      <c r="J16" s="3"/>
      <c r="K16" s="3"/>
      <c r="L16" s="3"/>
      <c r="M16" s="3"/>
      <c r="N16" s="5"/>
      <c r="O16" s="3"/>
      <c r="P16" s="3"/>
    </row>
    <row r="17" spans="1:16" ht="26.1" customHeight="1">
      <c r="A17" s="18"/>
      <c r="B17" s="18"/>
      <c r="C17" s="18"/>
      <c r="D17" s="18"/>
      <c r="E17" s="3"/>
      <c r="F17" s="3"/>
      <c r="G17" s="3"/>
      <c r="H17" s="3"/>
      <c r="I17" s="3"/>
      <c r="J17" s="3"/>
      <c r="K17" s="3"/>
      <c r="L17" s="3"/>
      <c r="M17" s="3"/>
      <c r="N17" s="5"/>
      <c r="O17" s="3"/>
      <c r="P17" s="3"/>
    </row>
    <row r="18" spans="1:16" ht="26.1" customHeight="1">
      <c r="A18" s="18"/>
      <c r="B18" s="18"/>
      <c r="C18" s="18"/>
      <c r="D18" s="18"/>
      <c r="E18" s="3"/>
      <c r="F18" s="3"/>
      <c r="G18" s="3"/>
      <c r="H18" s="3"/>
      <c r="I18" s="3"/>
      <c r="J18" s="3"/>
      <c r="K18" s="3"/>
      <c r="L18" s="3"/>
      <c r="M18" s="3"/>
      <c r="N18" s="5"/>
      <c r="O18" s="3"/>
      <c r="P18" s="3"/>
    </row>
    <row r="19" spans="1:16" ht="26.1" customHeight="1">
      <c r="A19" s="18"/>
      <c r="B19" s="18"/>
      <c r="C19" s="18"/>
      <c r="D19" s="18"/>
      <c r="E19" s="3"/>
      <c r="F19" s="3"/>
      <c r="G19" s="3"/>
      <c r="H19" s="3"/>
      <c r="I19" s="3"/>
      <c r="J19" s="3"/>
      <c r="K19" s="3"/>
      <c r="L19" s="3"/>
      <c r="M19" s="3"/>
      <c r="N19" s="5"/>
      <c r="O19" s="3"/>
      <c r="P19" s="3"/>
    </row>
    <row r="20" spans="1:16" ht="26.1" customHeight="1">
      <c r="A20" s="18"/>
      <c r="B20" s="18"/>
      <c r="C20" s="18"/>
      <c r="D20" s="18"/>
      <c r="E20" s="3"/>
      <c r="F20" s="3"/>
      <c r="G20" s="3"/>
      <c r="H20" s="3"/>
      <c r="I20" s="3"/>
      <c r="J20" s="3"/>
      <c r="K20" s="3"/>
      <c r="L20" s="3"/>
      <c r="M20" s="3"/>
      <c r="N20" s="5"/>
      <c r="O20" s="3"/>
      <c r="P20" s="3"/>
    </row>
    <row r="21" spans="1:16" ht="26.1" customHeight="1">
      <c r="A21" s="18"/>
      <c r="B21" s="18"/>
      <c r="C21" s="18"/>
      <c r="D21" s="18"/>
      <c r="E21" s="3"/>
      <c r="F21" s="3"/>
      <c r="G21" s="3"/>
      <c r="H21" s="3"/>
      <c r="I21" s="3"/>
      <c r="J21" s="3"/>
      <c r="K21" s="3"/>
      <c r="L21" s="3"/>
      <c r="M21" s="3"/>
      <c r="N21" s="5"/>
      <c r="O21" s="3"/>
      <c r="P21" s="3"/>
    </row>
    <row r="22" spans="1:16" ht="26.1" customHeight="1">
      <c r="A22" s="18"/>
      <c r="B22" s="18"/>
      <c r="C22" s="18"/>
      <c r="D22" s="18"/>
      <c r="E22" s="3"/>
      <c r="F22" s="3"/>
      <c r="G22" s="3"/>
      <c r="H22" s="3"/>
      <c r="I22" s="3"/>
      <c r="J22" s="3"/>
      <c r="K22" s="3"/>
      <c r="L22" s="3"/>
      <c r="M22" s="3"/>
      <c r="N22" s="5"/>
      <c r="O22" s="3"/>
      <c r="P22" s="3"/>
    </row>
    <row r="23" spans="1:16" ht="26.1" customHeight="1">
      <c r="A23" s="18"/>
      <c r="B23" s="18"/>
      <c r="C23" s="18"/>
      <c r="D23" s="18"/>
      <c r="E23" s="3"/>
      <c r="F23" s="3"/>
      <c r="G23" s="3"/>
      <c r="H23" s="3"/>
      <c r="I23" s="3"/>
      <c r="J23" s="3"/>
      <c r="K23" s="3"/>
      <c r="L23" s="3"/>
      <c r="M23" s="3"/>
      <c r="N23" s="5"/>
      <c r="O23" s="3"/>
      <c r="P23" s="3"/>
    </row>
    <row r="24" spans="1:16" ht="26.1" customHeight="1">
      <c r="A24" s="18"/>
      <c r="B24" s="18"/>
      <c r="C24" s="18"/>
      <c r="D24" s="18"/>
      <c r="E24" s="3"/>
      <c r="F24" s="3"/>
      <c r="G24" s="3"/>
      <c r="H24" s="3"/>
      <c r="I24" s="3"/>
      <c r="J24" s="3"/>
      <c r="K24" s="3"/>
      <c r="L24" s="3"/>
      <c r="M24" s="3"/>
      <c r="N24" s="5"/>
      <c r="O24" s="3"/>
      <c r="P24" s="3"/>
    </row>
    <row r="25" spans="1:16" ht="26.1" customHeight="1">
      <c r="A25" s="18"/>
      <c r="B25" s="18"/>
      <c r="C25" s="18"/>
      <c r="D25" s="18"/>
      <c r="E25" s="3"/>
      <c r="F25" s="3"/>
      <c r="G25" s="3"/>
      <c r="H25" s="3"/>
      <c r="I25" s="3"/>
      <c r="J25" s="3"/>
      <c r="K25" s="3"/>
      <c r="L25" s="3"/>
      <c r="M25" s="3"/>
      <c r="N25" s="5"/>
      <c r="O25" s="3"/>
      <c r="P25" s="3"/>
    </row>
    <row r="26" spans="1:16" ht="26.1" customHeight="1">
      <c r="A26" s="18"/>
      <c r="B26" s="18"/>
      <c r="C26" s="18"/>
      <c r="D26" s="18"/>
      <c r="E26" s="3"/>
      <c r="F26" s="3"/>
      <c r="G26" s="3"/>
      <c r="H26" s="3"/>
      <c r="I26" s="3"/>
      <c r="J26" s="3"/>
      <c r="K26" s="3"/>
      <c r="L26" s="3"/>
      <c r="M26" s="3"/>
      <c r="N26" s="5"/>
      <c r="O26" s="3"/>
      <c r="P26" s="3"/>
    </row>
    <row r="27" spans="1:16" ht="26.1" customHeight="1">
      <c r="A27" s="18"/>
      <c r="B27" s="18"/>
      <c r="C27" s="18"/>
      <c r="D27" s="18"/>
      <c r="E27" s="3"/>
      <c r="F27" s="3"/>
      <c r="G27" s="3"/>
      <c r="H27" s="3"/>
      <c r="I27" s="3"/>
      <c r="J27" s="3"/>
      <c r="K27" s="3"/>
      <c r="L27" s="3"/>
      <c r="M27" s="3"/>
      <c r="N27" s="5"/>
      <c r="O27" s="3"/>
      <c r="P27" s="3"/>
    </row>
    <row r="28" spans="1:16" ht="26.1" customHeight="1">
      <c r="A28" s="18"/>
      <c r="B28" s="18"/>
      <c r="C28" s="18"/>
      <c r="D28" s="18"/>
      <c r="E28" s="3"/>
      <c r="F28" s="3"/>
      <c r="G28" s="3"/>
      <c r="H28" s="3"/>
      <c r="I28" s="3"/>
      <c r="J28" s="3"/>
      <c r="K28" s="3"/>
      <c r="L28" s="3"/>
      <c r="M28" s="3"/>
      <c r="N28" s="5"/>
      <c r="O28" s="3"/>
      <c r="P28" s="3"/>
    </row>
    <row r="29" spans="1:16" ht="26.1" customHeight="1">
      <c r="A29" s="18"/>
      <c r="B29" s="18"/>
      <c r="C29" s="18"/>
      <c r="D29" s="18"/>
      <c r="E29" s="3"/>
      <c r="F29" s="3"/>
      <c r="G29" s="3"/>
      <c r="H29" s="3"/>
      <c r="I29" s="3"/>
      <c r="J29" s="3"/>
      <c r="K29" s="3"/>
      <c r="L29" s="3"/>
      <c r="M29" s="3"/>
      <c r="N29" s="5"/>
      <c r="O29" s="3"/>
      <c r="P29" s="3"/>
    </row>
    <row r="30" spans="1:16" ht="26.1" customHeight="1">
      <c r="A30" s="18"/>
      <c r="B30" s="18"/>
      <c r="C30" s="18"/>
      <c r="D30" s="18"/>
      <c r="E30" s="3"/>
      <c r="F30" s="3"/>
      <c r="G30" s="3"/>
      <c r="H30" s="3"/>
      <c r="I30" s="3"/>
      <c r="J30" s="3"/>
      <c r="K30" s="3"/>
      <c r="L30" s="3"/>
      <c r="M30" s="3"/>
      <c r="N30" s="5"/>
      <c r="O30" s="3"/>
      <c r="P30" s="3"/>
    </row>
    <row r="31" spans="1:16" ht="26.1" customHeight="1">
      <c r="A31" s="18"/>
      <c r="B31" s="18"/>
      <c r="C31" s="18"/>
      <c r="D31" s="18"/>
      <c r="E31" s="3"/>
      <c r="F31" s="3"/>
      <c r="G31" s="3"/>
      <c r="H31" s="3"/>
      <c r="I31" s="3"/>
      <c r="J31" s="3"/>
      <c r="K31" s="3"/>
      <c r="L31" s="3"/>
      <c r="M31" s="3"/>
      <c r="N31" s="5"/>
      <c r="O31" s="3"/>
      <c r="P31" s="3"/>
    </row>
    <row r="32" spans="1:16" ht="26.1" customHeight="1">
      <c r="A32" s="18"/>
      <c r="B32" s="18"/>
      <c r="C32" s="18"/>
      <c r="D32" s="18"/>
      <c r="E32" s="3"/>
      <c r="F32" s="3"/>
      <c r="G32" s="3"/>
      <c r="H32" s="3"/>
      <c r="I32" s="3"/>
      <c r="J32" s="3"/>
      <c r="K32" s="3"/>
      <c r="L32" s="3"/>
      <c r="M32" s="3"/>
      <c r="N32" s="5"/>
      <c r="O32" s="3"/>
      <c r="P32" s="3"/>
    </row>
    <row r="33" spans="1:16" ht="26.1" customHeight="1">
      <c r="A33" s="18"/>
      <c r="B33" s="18"/>
      <c r="C33" s="18"/>
      <c r="D33" s="18"/>
      <c r="E33" s="3"/>
      <c r="F33" s="3"/>
      <c r="G33" s="3"/>
      <c r="H33" s="3"/>
      <c r="I33" s="3"/>
      <c r="J33" s="3"/>
      <c r="K33" s="3"/>
      <c r="L33" s="3"/>
      <c r="M33" s="3"/>
      <c r="N33" s="5"/>
      <c r="O33" s="3"/>
      <c r="P33" s="3"/>
    </row>
    <row r="34" spans="1:16" ht="26.1" customHeight="1">
      <c r="A34" s="18"/>
      <c r="B34" s="18"/>
      <c r="C34" s="18"/>
      <c r="D34" s="18"/>
      <c r="E34" s="3"/>
      <c r="F34" s="3"/>
      <c r="G34" s="3"/>
      <c r="H34" s="3"/>
      <c r="I34" s="3"/>
      <c r="J34" s="3"/>
      <c r="K34" s="3"/>
      <c r="L34" s="3"/>
      <c r="M34" s="3"/>
      <c r="N34" s="5"/>
      <c r="O34" s="3"/>
      <c r="P34" s="3"/>
    </row>
    <row r="35" spans="1:16" ht="26.1" customHeight="1">
      <c r="A35" s="18"/>
      <c r="B35" s="18"/>
      <c r="C35" s="18"/>
      <c r="D35" s="18"/>
      <c r="E35" s="3"/>
      <c r="F35" s="3"/>
      <c r="G35" s="3"/>
      <c r="H35" s="3"/>
      <c r="I35" s="3"/>
      <c r="J35" s="3"/>
      <c r="K35" s="3"/>
      <c r="L35" s="3"/>
      <c r="M35" s="3"/>
      <c r="N35" s="5"/>
      <c r="O35" s="3"/>
      <c r="P35" s="3"/>
    </row>
    <row r="36" spans="1:16" ht="26.1" customHeight="1">
      <c r="A36" s="18"/>
      <c r="B36" s="18"/>
      <c r="C36" s="18"/>
      <c r="D36" s="18"/>
      <c r="E36" s="3"/>
      <c r="F36" s="3"/>
      <c r="G36" s="3"/>
      <c r="H36" s="3"/>
      <c r="I36" s="3"/>
      <c r="J36" s="3"/>
      <c r="K36" s="3"/>
      <c r="L36" s="3"/>
      <c r="M36" s="3"/>
      <c r="N36" s="5"/>
      <c r="O36" s="3"/>
      <c r="P36" s="3"/>
    </row>
    <row r="37" spans="1:16" ht="26.1" customHeight="1">
      <c r="A37" s="18"/>
      <c r="B37" s="18"/>
      <c r="C37" s="18"/>
      <c r="D37" s="18"/>
      <c r="E37" s="3"/>
      <c r="F37" s="3"/>
      <c r="G37" s="3"/>
      <c r="H37" s="3"/>
      <c r="I37" s="3"/>
      <c r="J37" s="3"/>
      <c r="K37" s="3"/>
      <c r="L37" s="3"/>
      <c r="M37" s="3"/>
      <c r="N37" s="5"/>
      <c r="O37" s="3"/>
      <c r="P37" s="3"/>
    </row>
    <row r="38" spans="1:16" ht="26.1" customHeight="1">
      <c r="A38" s="18"/>
      <c r="B38" s="18"/>
      <c r="C38" s="18"/>
      <c r="D38" s="18"/>
      <c r="E38" s="3"/>
      <c r="F38" s="3"/>
      <c r="G38" s="3"/>
      <c r="H38" s="3"/>
      <c r="I38" s="3"/>
      <c r="J38" s="3"/>
      <c r="K38" s="3"/>
      <c r="L38" s="3"/>
      <c r="M38" s="3"/>
      <c r="N38" s="5"/>
      <c r="O38" s="3"/>
      <c r="P38" s="3"/>
    </row>
    <row r="39" spans="1:16" ht="26.1" customHeight="1">
      <c r="A39" s="18"/>
      <c r="B39" s="18"/>
      <c r="C39" s="18"/>
      <c r="D39" s="18"/>
      <c r="E39" s="3"/>
      <c r="F39" s="3"/>
      <c r="G39" s="3"/>
      <c r="H39" s="3"/>
      <c r="I39" s="3"/>
      <c r="J39" s="3"/>
      <c r="K39" s="3"/>
      <c r="L39" s="3"/>
      <c r="M39" s="3"/>
      <c r="N39" s="5"/>
      <c r="O39" s="3"/>
      <c r="P39" s="3"/>
    </row>
    <row r="40" spans="1:16" ht="26.1" customHeight="1">
      <c r="A40" s="18"/>
      <c r="B40" s="18"/>
      <c r="C40" s="18"/>
      <c r="D40" s="18"/>
      <c r="E40" s="3"/>
      <c r="F40" s="3"/>
      <c r="G40" s="3"/>
      <c r="H40" s="3"/>
      <c r="I40" s="3"/>
      <c r="J40" s="3"/>
      <c r="K40" s="3"/>
      <c r="L40" s="3"/>
      <c r="M40" s="3"/>
      <c r="N40" s="5"/>
      <c r="O40" s="3"/>
      <c r="P40" s="3"/>
    </row>
    <row r="41" spans="1:16" ht="26.1" customHeight="1">
      <c r="A41" s="18"/>
      <c r="B41" s="18"/>
      <c r="C41" s="18"/>
      <c r="D41" s="18"/>
      <c r="E41" s="3"/>
      <c r="F41" s="3"/>
      <c r="G41" s="3"/>
      <c r="H41" s="3"/>
      <c r="I41" s="3"/>
      <c r="J41" s="3"/>
      <c r="K41" s="3"/>
      <c r="L41" s="3"/>
      <c r="M41" s="3"/>
      <c r="N41" s="5"/>
      <c r="O41" s="3"/>
      <c r="P41" s="3"/>
    </row>
    <row r="42" spans="1:16" ht="26.1" customHeight="1">
      <c r="A42" s="18"/>
      <c r="B42" s="18"/>
      <c r="C42" s="18"/>
      <c r="D42" s="18"/>
      <c r="E42" s="3"/>
      <c r="F42" s="3"/>
      <c r="G42" s="3"/>
      <c r="H42" s="3"/>
      <c r="I42" s="3"/>
      <c r="J42" s="3"/>
      <c r="K42" s="3"/>
      <c r="L42" s="3"/>
      <c r="M42" s="3"/>
      <c r="N42" s="5"/>
      <c r="O42" s="3"/>
      <c r="P42" s="3"/>
    </row>
    <row r="43" spans="1:16" ht="26.1" customHeight="1">
      <c r="A43" s="18"/>
      <c r="B43" s="18"/>
      <c r="C43" s="18"/>
      <c r="D43" s="18"/>
      <c r="E43" s="3"/>
      <c r="F43" s="3"/>
      <c r="G43" s="3"/>
      <c r="H43" s="3"/>
      <c r="I43" s="3"/>
      <c r="J43" s="3"/>
      <c r="K43" s="3"/>
      <c r="L43" s="3"/>
      <c r="M43" s="3"/>
      <c r="N43" s="5"/>
      <c r="O43" s="3"/>
      <c r="P43" s="3"/>
    </row>
    <row r="44" spans="1:16" ht="26.1" customHeight="1">
      <c r="A44" s="18"/>
      <c r="B44" s="18"/>
      <c r="C44" s="18"/>
      <c r="D44" s="18"/>
      <c r="E44" s="3"/>
      <c r="F44" s="3"/>
      <c r="G44" s="3"/>
      <c r="H44" s="3"/>
      <c r="I44" s="3"/>
      <c r="J44" s="3"/>
      <c r="K44" s="3"/>
      <c r="L44" s="3"/>
      <c r="M44" s="3"/>
      <c r="N44" s="5"/>
      <c r="O44" s="3"/>
      <c r="P44" s="3"/>
    </row>
    <row r="45" spans="1:16" ht="26.1" customHeight="1">
      <c r="A45" s="18"/>
      <c r="B45" s="18"/>
      <c r="C45" s="18"/>
      <c r="D45" s="18"/>
      <c r="E45" s="3"/>
      <c r="F45" s="3"/>
      <c r="G45" s="3"/>
      <c r="H45" s="3"/>
      <c r="I45" s="3"/>
      <c r="J45" s="3"/>
      <c r="K45" s="3"/>
      <c r="L45" s="3"/>
      <c r="M45" s="3"/>
      <c r="N45" s="5"/>
      <c r="O45" s="3"/>
      <c r="P45" s="3"/>
    </row>
    <row r="46" spans="1:16" ht="26.1" customHeight="1">
      <c r="A46" s="18"/>
      <c r="B46" s="18"/>
      <c r="C46" s="18"/>
      <c r="D46" s="18"/>
      <c r="E46" s="3"/>
      <c r="F46" s="3"/>
      <c r="G46" s="3"/>
      <c r="H46" s="3"/>
      <c r="I46" s="3"/>
      <c r="J46" s="3"/>
      <c r="K46" s="3"/>
      <c r="L46" s="3"/>
      <c r="M46" s="3"/>
      <c r="N46" s="5"/>
      <c r="O46" s="3"/>
      <c r="P46" s="3"/>
    </row>
    <row r="47" spans="1:16" ht="26.1" customHeight="1">
      <c r="A47" s="18"/>
      <c r="B47" s="18"/>
      <c r="C47" s="18"/>
      <c r="D47" s="18"/>
      <c r="E47" s="3"/>
      <c r="F47" s="3"/>
      <c r="G47" s="3"/>
      <c r="H47" s="3"/>
      <c r="I47" s="3"/>
      <c r="J47" s="3"/>
      <c r="K47" s="3"/>
      <c r="L47" s="3"/>
      <c r="M47" s="3"/>
      <c r="N47" s="5"/>
      <c r="O47" s="3"/>
      <c r="P47" s="3"/>
    </row>
    <row r="48" spans="1:16" ht="26.1" customHeight="1">
      <c r="A48" s="18"/>
      <c r="B48" s="18"/>
      <c r="C48" s="18"/>
      <c r="D48" s="18"/>
      <c r="E48" s="3"/>
      <c r="F48" s="3"/>
      <c r="G48" s="3"/>
      <c r="H48" s="3"/>
      <c r="I48" s="3"/>
      <c r="J48" s="3"/>
      <c r="K48" s="3"/>
      <c r="L48" s="3"/>
      <c r="M48" s="3"/>
      <c r="N48" s="5"/>
      <c r="O48" s="3"/>
      <c r="P48" s="3"/>
    </row>
    <row r="49" spans="1:16" ht="26.1" customHeight="1">
      <c r="A49" s="18"/>
      <c r="B49" s="18"/>
      <c r="C49" s="18"/>
      <c r="D49" s="18"/>
      <c r="E49" s="3"/>
      <c r="F49" s="3"/>
      <c r="G49" s="3"/>
      <c r="H49" s="3"/>
      <c r="I49" s="3"/>
      <c r="J49" s="3"/>
      <c r="K49" s="3"/>
      <c r="L49" s="3"/>
      <c r="M49" s="3"/>
      <c r="N49" s="5"/>
      <c r="O49" s="3"/>
      <c r="P49" s="3"/>
    </row>
    <row r="50" spans="1:16" ht="26.1" customHeight="1">
      <c r="A50" s="18"/>
      <c r="B50" s="18"/>
      <c r="C50" s="18"/>
      <c r="D50" s="18"/>
      <c r="E50" s="3"/>
      <c r="F50" s="3"/>
      <c r="G50" s="3"/>
      <c r="H50" s="3"/>
      <c r="I50" s="3"/>
      <c r="J50" s="3"/>
      <c r="K50" s="3"/>
      <c r="L50" s="3"/>
      <c r="M50" s="3"/>
      <c r="N50" s="5"/>
      <c r="O50" s="3"/>
      <c r="P50" s="3"/>
    </row>
    <row r="51" spans="1:16" ht="26.1" customHeight="1">
      <c r="A51" s="18"/>
      <c r="B51" s="18"/>
      <c r="C51" s="18"/>
      <c r="D51" s="18"/>
      <c r="E51" s="3"/>
      <c r="F51" s="3"/>
      <c r="G51" s="3"/>
      <c r="H51" s="3"/>
      <c r="I51" s="3"/>
      <c r="J51" s="3"/>
      <c r="K51" s="3"/>
      <c r="L51" s="3"/>
      <c r="M51" s="3"/>
      <c r="N51" s="5"/>
      <c r="O51" s="3"/>
      <c r="P51" s="3"/>
    </row>
    <row r="52" spans="1:16" ht="26.1" customHeight="1">
      <c r="A52" s="18"/>
      <c r="B52" s="18"/>
      <c r="C52" s="18"/>
      <c r="D52" s="18"/>
      <c r="E52" s="3"/>
      <c r="F52" s="3"/>
      <c r="G52" s="3"/>
      <c r="H52" s="3"/>
      <c r="I52" s="3"/>
      <c r="J52" s="3"/>
      <c r="K52" s="3"/>
      <c r="L52" s="3"/>
      <c r="M52" s="3"/>
      <c r="N52" s="5"/>
      <c r="O52" s="3"/>
      <c r="P52" s="3"/>
    </row>
    <row r="53" spans="1:16" ht="26.1" customHeight="1">
      <c r="A53" s="18"/>
      <c r="B53" s="18"/>
      <c r="C53" s="18"/>
      <c r="D53" s="18"/>
      <c r="E53" s="3"/>
      <c r="F53" s="3"/>
      <c r="G53" s="3"/>
      <c r="H53" s="3"/>
      <c r="I53" s="3"/>
      <c r="J53" s="3"/>
      <c r="K53" s="3"/>
      <c r="L53" s="3"/>
      <c r="M53" s="3"/>
      <c r="N53" s="5"/>
      <c r="O53" s="3"/>
      <c r="P53" s="3"/>
    </row>
    <row r="54" spans="1:16" ht="26.1" customHeight="1">
      <c r="A54" s="18"/>
      <c r="B54" s="18"/>
      <c r="C54" s="18"/>
      <c r="D54" s="18"/>
      <c r="E54" s="3"/>
      <c r="F54" s="3"/>
      <c r="G54" s="3"/>
      <c r="H54" s="3"/>
      <c r="I54" s="3"/>
      <c r="J54" s="3"/>
      <c r="K54" s="3"/>
      <c r="L54" s="3"/>
      <c r="M54" s="3"/>
      <c r="N54" s="5"/>
      <c r="O54" s="3"/>
      <c r="P54" s="3"/>
    </row>
    <row r="55" spans="1:16" ht="26.1" customHeight="1">
      <c r="A55" s="18"/>
      <c r="B55" s="18"/>
      <c r="C55" s="18"/>
      <c r="D55" s="18"/>
      <c r="E55" s="3"/>
      <c r="F55" s="3"/>
      <c r="G55" s="3"/>
      <c r="H55" s="3"/>
      <c r="I55" s="3"/>
      <c r="J55" s="3"/>
      <c r="K55" s="3"/>
      <c r="L55" s="3"/>
      <c r="M55" s="3"/>
      <c r="N55" s="5"/>
      <c r="O55" s="3"/>
      <c r="P55" s="3"/>
    </row>
    <row r="56" spans="1:16" ht="26.1" customHeight="1">
      <c r="A56" s="18"/>
      <c r="B56" s="18"/>
      <c r="C56" s="18"/>
      <c r="D56" s="18"/>
      <c r="E56" s="3"/>
      <c r="F56" s="3"/>
      <c r="G56" s="3"/>
      <c r="H56" s="3"/>
      <c r="I56" s="3"/>
      <c r="J56" s="3"/>
      <c r="K56" s="3"/>
      <c r="L56" s="3"/>
      <c r="M56" s="3"/>
      <c r="N56" s="5"/>
      <c r="O56" s="3"/>
      <c r="P56" s="3"/>
    </row>
    <row r="57" spans="1:16" ht="26.1" customHeight="1">
      <c r="A57" s="18"/>
      <c r="B57" s="18"/>
      <c r="C57" s="18"/>
      <c r="D57" s="18"/>
      <c r="E57" s="3"/>
      <c r="F57" s="3"/>
      <c r="G57" s="3"/>
      <c r="H57" s="3"/>
      <c r="I57" s="3"/>
      <c r="J57" s="3"/>
      <c r="K57" s="3"/>
      <c r="L57" s="3"/>
      <c r="M57" s="3"/>
      <c r="N57" s="5"/>
      <c r="O57" s="3"/>
      <c r="P57" s="3"/>
    </row>
    <row r="58" spans="1:16" ht="26.1" customHeight="1">
      <c r="A58" s="18"/>
      <c r="B58" s="18"/>
      <c r="C58" s="18"/>
      <c r="D58" s="18"/>
      <c r="E58" s="3"/>
      <c r="F58" s="3"/>
      <c r="G58" s="3"/>
      <c r="H58" s="3"/>
      <c r="I58" s="3"/>
      <c r="J58" s="3"/>
      <c r="K58" s="3"/>
      <c r="L58" s="3"/>
      <c r="M58" s="3"/>
      <c r="N58" s="5"/>
      <c r="O58" s="3"/>
      <c r="P58" s="3"/>
    </row>
    <row r="59" spans="1:16" ht="26.1" customHeight="1">
      <c r="A59" s="18"/>
      <c r="B59" s="18"/>
      <c r="C59" s="18"/>
      <c r="D59" s="18"/>
      <c r="E59" s="3"/>
      <c r="F59" s="3"/>
      <c r="G59" s="3"/>
      <c r="H59" s="3"/>
      <c r="I59" s="3"/>
      <c r="J59" s="3"/>
      <c r="K59" s="3"/>
      <c r="L59" s="3"/>
      <c r="M59" s="3"/>
      <c r="N59" s="5"/>
      <c r="O59" s="3"/>
      <c r="P59" s="3"/>
    </row>
    <row r="60" spans="1:16" ht="26.1" customHeight="1">
      <c r="A60" s="18"/>
      <c r="B60" s="18"/>
      <c r="C60" s="18"/>
      <c r="D60" s="18"/>
      <c r="E60" s="3"/>
      <c r="F60" s="3"/>
      <c r="G60" s="3"/>
      <c r="H60" s="3"/>
      <c r="I60" s="3"/>
      <c r="J60" s="3"/>
      <c r="K60" s="3"/>
      <c r="L60" s="3"/>
      <c r="M60" s="3"/>
      <c r="N60" s="5"/>
      <c r="O60" s="3"/>
      <c r="P60" s="3"/>
    </row>
    <row r="61" spans="1:16" ht="26.1" customHeight="1">
      <c r="A61" s="18"/>
      <c r="B61" s="18"/>
      <c r="C61" s="18"/>
      <c r="D61" s="18"/>
      <c r="E61" s="3"/>
      <c r="F61" s="3"/>
      <c r="G61" s="3"/>
      <c r="H61" s="3"/>
      <c r="I61" s="3"/>
      <c r="J61" s="3"/>
      <c r="K61" s="3"/>
      <c r="L61" s="3"/>
      <c r="M61" s="3"/>
      <c r="N61" s="5"/>
      <c r="O61" s="3"/>
      <c r="P61" s="3"/>
    </row>
    <row r="62" spans="1:16" ht="26.1" customHeight="1">
      <c r="A62" s="18"/>
      <c r="B62" s="18"/>
      <c r="C62" s="18"/>
      <c r="D62" s="18"/>
      <c r="E62" s="3"/>
      <c r="F62" s="3"/>
      <c r="G62" s="3"/>
      <c r="H62" s="3"/>
      <c r="I62" s="3"/>
      <c r="J62" s="3"/>
      <c r="K62" s="3"/>
      <c r="L62" s="3"/>
      <c r="M62" s="3"/>
      <c r="N62" s="5"/>
      <c r="O62" s="3"/>
      <c r="P62" s="3"/>
    </row>
    <row r="63" spans="1:16" ht="26.1" customHeight="1">
      <c r="A63" s="18"/>
      <c r="B63" s="18"/>
      <c r="C63" s="18"/>
      <c r="D63" s="18"/>
      <c r="E63" s="3"/>
      <c r="F63" s="3"/>
      <c r="G63" s="3"/>
      <c r="H63" s="3"/>
      <c r="I63" s="3"/>
      <c r="J63" s="3"/>
      <c r="K63" s="3"/>
      <c r="L63" s="3"/>
      <c r="M63" s="3"/>
      <c r="N63" s="5"/>
      <c r="O63" s="3"/>
      <c r="P63" s="3"/>
    </row>
    <row r="64" spans="1:16" ht="26.1" customHeight="1">
      <c r="A64" s="18"/>
      <c r="B64" s="18"/>
      <c r="C64" s="18"/>
      <c r="D64" s="18"/>
      <c r="E64" s="3"/>
      <c r="F64" s="3"/>
      <c r="G64" s="3"/>
      <c r="H64" s="3"/>
      <c r="I64" s="3"/>
      <c r="J64" s="3"/>
      <c r="K64" s="3"/>
      <c r="L64" s="3"/>
      <c r="M64" s="3"/>
      <c r="N64" s="5"/>
      <c r="O64" s="3"/>
      <c r="P64" s="3"/>
    </row>
    <row r="65" spans="1:16" ht="26.1" customHeight="1">
      <c r="A65" s="18"/>
      <c r="B65" s="18"/>
      <c r="C65" s="18"/>
      <c r="D65" s="18"/>
      <c r="E65" s="3"/>
      <c r="F65" s="3"/>
      <c r="G65" s="3"/>
      <c r="H65" s="3"/>
      <c r="I65" s="3"/>
      <c r="J65" s="3"/>
      <c r="K65" s="3"/>
      <c r="L65" s="3"/>
      <c r="M65" s="3"/>
      <c r="N65" s="5"/>
      <c r="O65" s="3"/>
      <c r="P65" s="3"/>
    </row>
    <row r="66" spans="1:16" ht="26.1" customHeight="1">
      <c r="A66" s="18"/>
      <c r="B66" s="18"/>
      <c r="C66" s="18"/>
      <c r="D66" s="18"/>
      <c r="E66" s="3"/>
      <c r="F66" s="3"/>
      <c r="G66" s="3"/>
      <c r="H66" s="3"/>
      <c r="I66" s="3"/>
      <c r="J66" s="3"/>
      <c r="K66" s="3"/>
      <c r="L66" s="3"/>
      <c r="M66" s="3"/>
      <c r="N66" s="5"/>
      <c r="O66" s="3"/>
      <c r="P66" s="3"/>
    </row>
    <row r="67" spans="1:16" ht="26.1" customHeight="1">
      <c r="A67" s="18"/>
      <c r="B67" s="18"/>
      <c r="C67" s="18"/>
      <c r="D67" s="18"/>
      <c r="E67" s="3"/>
      <c r="F67" s="3"/>
      <c r="G67" s="3"/>
      <c r="H67" s="3"/>
      <c r="I67" s="3"/>
      <c r="J67" s="3"/>
      <c r="K67" s="3"/>
      <c r="L67" s="3"/>
      <c r="M67" s="3"/>
      <c r="N67" s="5"/>
      <c r="O67" s="3"/>
      <c r="P67" s="3"/>
    </row>
    <row r="68" spans="1:16" ht="26.1" customHeight="1">
      <c r="A68" s="18"/>
      <c r="B68" s="18"/>
      <c r="C68" s="18"/>
      <c r="D68" s="18"/>
      <c r="E68" s="3"/>
      <c r="F68" s="3"/>
      <c r="G68" s="3"/>
      <c r="H68" s="3"/>
      <c r="I68" s="3"/>
      <c r="J68" s="3"/>
      <c r="K68" s="3"/>
      <c r="L68" s="3"/>
      <c r="M68" s="3"/>
      <c r="N68" s="5"/>
      <c r="O68" s="3"/>
      <c r="P68" s="3"/>
    </row>
    <row r="69" spans="1:16" ht="26.1" customHeight="1">
      <c r="A69" s="18"/>
      <c r="B69" s="18"/>
      <c r="C69" s="18"/>
      <c r="D69" s="18"/>
      <c r="E69" s="3"/>
      <c r="F69" s="3"/>
      <c r="G69" s="3"/>
      <c r="H69" s="3"/>
      <c r="I69" s="3"/>
      <c r="J69" s="3"/>
      <c r="K69" s="3"/>
      <c r="L69" s="3"/>
      <c r="M69" s="3"/>
      <c r="N69" s="5"/>
      <c r="O69" s="3"/>
      <c r="P69" s="3"/>
    </row>
    <row r="70" spans="1:16" ht="26.1" customHeight="1">
      <c r="A70" s="18"/>
      <c r="B70" s="18"/>
      <c r="C70" s="18"/>
      <c r="D70" s="18"/>
      <c r="E70" s="3"/>
      <c r="F70" s="3"/>
      <c r="G70" s="3"/>
      <c r="H70" s="3"/>
      <c r="I70" s="3"/>
      <c r="J70" s="3"/>
      <c r="K70" s="3"/>
      <c r="L70" s="3"/>
      <c r="M70" s="3"/>
      <c r="N70" s="5"/>
      <c r="O70" s="3"/>
      <c r="P70" s="3"/>
    </row>
    <row r="71" spans="1:16" ht="26.1" customHeight="1">
      <c r="A71" s="18"/>
      <c r="B71" s="18"/>
      <c r="C71" s="18"/>
      <c r="D71" s="18"/>
      <c r="E71" s="3"/>
      <c r="F71" s="3"/>
      <c r="G71" s="3"/>
      <c r="H71" s="3"/>
      <c r="I71" s="3"/>
      <c r="J71" s="3"/>
      <c r="K71" s="3"/>
      <c r="L71" s="3"/>
      <c r="M71" s="3"/>
      <c r="N71" s="5"/>
      <c r="O71" s="3"/>
      <c r="P71" s="3"/>
    </row>
    <row r="72" spans="1:16" ht="26.1" customHeight="1">
      <c r="A72" s="18"/>
      <c r="B72" s="18"/>
      <c r="C72" s="18"/>
      <c r="D72" s="18"/>
      <c r="E72" s="3"/>
      <c r="F72" s="3"/>
      <c r="G72" s="3"/>
      <c r="H72" s="3"/>
      <c r="I72" s="3"/>
      <c r="J72" s="3"/>
      <c r="K72" s="3"/>
      <c r="L72" s="3"/>
      <c r="M72" s="3"/>
      <c r="N72" s="5"/>
      <c r="O72" s="3"/>
      <c r="P72" s="3"/>
    </row>
    <row r="73" spans="1:16" ht="26.1" customHeight="1">
      <c r="A73" s="18"/>
      <c r="B73" s="18"/>
      <c r="C73" s="18"/>
      <c r="D73" s="18"/>
      <c r="E73" s="3"/>
      <c r="F73" s="3"/>
      <c r="G73" s="3"/>
      <c r="H73" s="3"/>
      <c r="I73" s="3"/>
      <c r="J73" s="3"/>
      <c r="K73" s="3"/>
      <c r="L73" s="3"/>
      <c r="M73" s="3"/>
      <c r="N73" s="5"/>
      <c r="O73" s="3"/>
      <c r="P73" s="3"/>
    </row>
    <row r="74" spans="1:16" ht="26.1" customHeight="1">
      <c r="A74" s="18"/>
      <c r="B74" s="18"/>
      <c r="C74" s="18"/>
      <c r="D74" s="18"/>
      <c r="E74" s="3"/>
      <c r="F74" s="3"/>
      <c r="G74" s="3"/>
      <c r="H74" s="3"/>
      <c r="I74" s="3"/>
      <c r="J74" s="3"/>
      <c r="K74" s="3"/>
      <c r="L74" s="3"/>
      <c r="M74" s="3"/>
      <c r="N74" s="5"/>
      <c r="O74" s="3"/>
      <c r="P74" s="3"/>
    </row>
    <row r="75" spans="1:16" ht="26.1" customHeight="1">
      <c r="A75" s="18"/>
      <c r="B75" s="18"/>
      <c r="C75" s="18"/>
      <c r="D75" s="18"/>
      <c r="E75" s="3"/>
      <c r="F75" s="3"/>
      <c r="G75" s="3"/>
      <c r="H75" s="3"/>
      <c r="I75" s="3"/>
      <c r="J75" s="3"/>
      <c r="K75" s="3"/>
      <c r="L75" s="3"/>
      <c r="M75" s="3"/>
      <c r="N75" s="5"/>
      <c r="O75" s="3"/>
      <c r="P75" s="3"/>
    </row>
    <row r="76" spans="1:16" ht="26.1" customHeight="1">
      <c r="A76" s="18"/>
      <c r="B76" s="18"/>
      <c r="C76" s="18"/>
      <c r="D76" s="18"/>
      <c r="E76" s="3"/>
      <c r="F76" s="3"/>
      <c r="G76" s="3"/>
      <c r="H76" s="3"/>
      <c r="I76" s="3"/>
      <c r="J76" s="3"/>
      <c r="K76" s="3"/>
      <c r="L76" s="3"/>
      <c r="M76" s="3"/>
      <c r="N76" s="5"/>
      <c r="O76" s="3"/>
      <c r="P76" s="3"/>
    </row>
    <row r="77" spans="1:16" ht="26.1" customHeight="1">
      <c r="A77" s="18"/>
      <c r="B77" s="18"/>
      <c r="C77" s="18"/>
      <c r="D77" s="18"/>
      <c r="E77" s="3"/>
      <c r="F77" s="3"/>
      <c r="G77" s="3"/>
      <c r="H77" s="3"/>
      <c r="I77" s="3"/>
      <c r="J77" s="3"/>
      <c r="K77" s="3"/>
      <c r="L77" s="3"/>
      <c r="M77" s="3"/>
      <c r="N77" s="5"/>
      <c r="O77" s="3"/>
      <c r="P77" s="3"/>
    </row>
    <row r="78" spans="1:16" ht="26.1" customHeight="1">
      <c r="A78" s="18"/>
      <c r="B78" s="18"/>
      <c r="C78" s="18"/>
      <c r="D78" s="18"/>
      <c r="E78" s="3"/>
      <c r="F78" s="3"/>
      <c r="G78" s="3"/>
      <c r="H78" s="3"/>
      <c r="I78" s="3"/>
      <c r="J78" s="3"/>
      <c r="K78" s="3"/>
      <c r="L78" s="3"/>
      <c r="M78" s="3"/>
      <c r="N78" s="5"/>
      <c r="O78" s="3"/>
      <c r="P78" s="3"/>
    </row>
    <row r="79" spans="1:16" ht="26.1" customHeight="1">
      <c r="A79" s="18"/>
      <c r="B79" s="18"/>
      <c r="C79" s="18"/>
      <c r="D79" s="18"/>
      <c r="E79" s="3"/>
      <c r="F79" s="3"/>
      <c r="G79" s="3"/>
      <c r="H79" s="3"/>
      <c r="I79" s="3"/>
      <c r="J79" s="3"/>
      <c r="K79" s="3"/>
      <c r="L79" s="3"/>
      <c r="M79" s="3"/>
      <c r="N79" s="5"/>
      <c r="O79" s="3"/>
      <c r="P79" s="3"/>
    </row>
    <row r="80" spans="1:16" ht="26.1" customHeight="1">
      <c r="A80" s="18"/>
      <c r="B80" s="18"/>
      <c r="C80" s="18"/>
      <c r="D80" s="18"/>
      <c r="E80" s="3"/>
      <c r="F80" s="3"/>
      <c r="G80" s="3"/>
      <c r="H80" s="3"/>
      <c r="I80" s="3"/>
      <c r="J80" s="3"/>
      <c r="K80" s="3"/>
      <c r="L80" s="3"/>
      <c r="M80" s="3"/>
      <c r="N80" s="5"/>
      <c r="O80" s="3"/>
      <c r="P80" s="3"/>
    </row>
    <row r="81" spans="1:16" ht="26.1" customHeight="1">
      <c r="A81" s="18"/>
      <c r="B81" s="18"/>
      <c r="C81" s="18"/>
      <c r="D81" s="18"/>
      <c r="E81" s="3"/>
      <c r="F81" s="3"/>
      <c r="G81" s="3"/>
      <c r="H81" s="3"/>
      <c r="I81" s="3"/>
      <c r="J81" s="3"/>
      <c r="K81" s="3"/>
      <c r="L81" s="3"/>
      <c r="M81" s="3"/>
      <c r="N81" s="5"/>
      <c r="O81" s="3"/>
      <c r="P81" s="3"/>
    </row>
    <row r="82" spans="1:16" ht="26.1" customHeight="1">
      <c r="A82" s="18"/>
      <c r="B82" s="18"/>
      <c r="C82" s="18"/>
      <c r="D82" s="18"/>
      <c r="E82" s="3"/>
      <c r="F82" s="3"/>
      <c r="G82" s="3"/>
      <c r="H82" s="3"/>
      <c r="I82" s="3"/>
      <c r="J82" s="3"/>
      <c r="K82" s="3"/>
      <c r="L82" s="3"/>
      <c r="M82" s="3"/>
      <c r="N82" s="5"/>
      <c r="O82" s="3"/>
      <c r="P82" s="3"/>
    </row>
    <row r="83" spans="1:16" ht="26.1" customHeight="1">
      <c r="A83" s="18"/>
      <c r="B83" s="18"/>
      <c r="C83" s="18"/>
      <c r="D83" s="18"/>
      <c r="E83" s="3"/>
      <c r="F83" s="3"/>
      <c r="G83" s="3"/>
      <c r="H83" s="3"/>
      <c r="I83" s="3"/>
      <c r="J83" s="3"/>
      <c r="K83" s="3"/>
      <c r="L83" s="3"/>
      <c r="M83" s="3"/>
      <c r="N83" s="5"/>
      <c r="O83" s="3"/>
      <c r="P83" s="3"/>
    </row>
    <row r="84" spans="1:16" ht="26.1" customHeight="1">
      <c r="A84" s="18"/>
      <c r="B84" s="18"/>
      <c r="C84" s="18"/>
      <c r="D84" s="18"/>
      <c r="E84" s="3"/>
      <c r="F84" s="3"/>
      <c r="G84" s="3"/>
      <c r="H84" s="3"/>
      <c r="I84" s="3"/>
      <c r="J84" s="3"/>
      <c r="K84" s="3"/>
      <c r="L84" s="3"/>
      <c r="M84" s="3"/>
      <c r="N84" s="5"/>
      <c r="O84" s="3"/>
      <c r="P84" s="3"/>
    </row>
    <row r="85" spans="1:16" ht="26.1" customHeight="1">
      <c r="A85" s="18"/>
      <c r="B85" s="18"/>
      <c r="C85" s="18"/>
      <c r="D85" s="18"/>
      <c r="E85" s="3"/>
      <c r="F85" s="3"/>
      <c r="G85" s="3"/>
      <c r="H85" s="3"/>
      <c r="I85" s="3"/>
      <c r="J85" s="3"/>
      <c r="K85" s="3"/>
      <c r="L85" s="3"/>
      <c r="M85" s="3"/>
      <c r="N85" s="5"/>
      <c r="O85" s="3"/>
      <c r="P85" s="3"/>
    </row>
    <row r="86" spans="1:16" ht="26.1" customHeight="1">
      <c r="A86" s="18"/>
      <c r="B86" s="18"/>
      <c r="C86" s="18"/>
      <c r="D86" s="18"/>
      <c r="E86" s="3"/>
      <c r="F86" s="3"/>
      <c r="G86" s="3"/>
      <c r="H86" s="3"/>
      <c r="I86" s="3"/>
      <c r="J86" s="3"/>
      <c r="K86" s="3"/>
      <c r="L86" s="3"/>
      <c r="M86" s="3"/>
      <c r="N86" s="5"/>
      <c r="O86" s="3"/>
      <c r="P86" s="3"/>
    </row>
    <row r="87" spans="1:16" ht="26.1" customHeight="1">
      <c r="A87" s="18"/>
      <c r="B87" s="18"/>
      <c r="C87" s="18"/>
      <c r="D87" s="18"/>
      <c r="E87" s="3"/>
      <c r="F87" s="3"/>
      <c r="G87" s="3"/>
      <c r="H87" s="3"/>
      <c r="I87" s="3"/>
      <c r="J87" s="3"/>
      <c r="K87" s="3"/>
      <c r="L87" s="3"/>
      <c r="M87" s="3"/>
      <c r="N87" s="5"/>
      <c r="O87" s="3"/>
      <c r="P87" s="3"/>
    </row>
    <row r="88" spans="1:16" ht="26.1" customHeight="1">
      <c r="A88" s="18"/>
      <c r="B88" s="18"/>
      <c r="C88" s="18"/>
      <c r="D88" s="18"/>
      <c r="E88" s="3"/>
      <c r="F88" s="3"/>
      <c r="G88" s="3"/>
      <c r="H88" s="3"/>
      <c r="I88" s="3"/>
      <c r="J88" s="3"/>
      <c r="K88" s="3"/>
      <c r="L88" s="3"/>
      <c r="M88" s="3"/>
      <c r="N88" s="5"/>
      <c r="O88" s="3"/>
      <c r="P88" s="3"/>
    </row>
    <row r="89" spans="1:16" ht="26.1" customHeight="1">
      <c r="A89" s="18"/>
      <c r="B89" s="18"/>
      <c r="C89" s="18"/>
      <c r="D89" s="18"/>
      <c r="E89" s="3"/>
      <c r="F89" s="3"/>
      <c r="G89" s="3"/>
      <c r="H89" s="3"/>
      <c r="I89" s="3"/>
      <c r="J89" s="3"/>
      <c r="K89" s="3"/>
      <c r="L89" s="3"/>
      <c r="M89" s="3"/>
      <c r="N89" s="5"/>
      <c r="O89" s="3"/>
      <c r="P89" s="3"/>
    </row>
    <row r="90" spans="1:16" ht="26.1" customHeight="1">
      <c r="A90" s="18"/>
      <c r="B90" s="18"/>
      <c r="C90" s="18"/>
      <c r="D90" s="18"/>
      <c r="E90" s="3"/>
      <c r="F90" s="3"/>
      <c r="G90" s="3"/>
      <c r="H90" s="3"/>
      <c r="I90" s="3"/>
      <c r="J90" s="3"/>
      <c r="K90" s="3"/>
      <c r="L90" s="3"/>
      <c r="M90" s="3"/>
      <c r="N90" s="5"/>
      <c r="O90" s="3"/>
      <c r="P90" s="3"/>
    </row>
    <row r="91" spans="1:16" ht="26.1" customHeight="1">
      <c r="A91" s="18"/>
      <c r="B91" s="18"/>
      <c r="C91" s="18"/>
      <c r="D91" s="18"/>
      <c r="E91" s="3"/>
      <c r="F91" s="3"/>
      <c r="G91" s="3"/>
      <c r="H91" s="3"/>
      <c r="I91" s="3"/>
      <c r="J91" s="3"/>
      <c r="K91" s="3"/>
      <c r="L91" s="3"/>
      <c r="M91" s="3"/>
      <c r="N91" s="5"/>
      <c r="O91" s="3"/>
      <c r="P91" s="3"/>
    </row>
    <row r="92" spans="1:16" ht="26.1" customHeight="1">
      <c r="A92" s="18"/>
      <c r="B92" s="18"/>
      <c r="C92" s="18"/>
      <c r="D92" s="18"/>
      <c r="E92" s="3"/>
      <c r="F92" s="3"/>
      <c r="G92" s="3"/>
      <c r="H92" s="3"/>
      <c r="I92" s="3"/>
      <c r="J92" s="3"/>
      <c r="K92" s="3"/>
      <c r="L92" s="3"/>
      <c r="M92" s="3"/>
      <c r="N92" s="5"/>
      <c r="O92" s="3"/>
      <c r="P92" s="3"/>
    </row>
    <row r="93" spans="1:16" ht="26.1" customHeight="1">
      <c r="A93" s="18"/>
      <c r="B93" s="18"/>
      <c r="C93" s="18"/>
      <c r="D93" s="18"/>
      <c r="E93" s="3"/>
      <c r="F93" s="3"/>
      <c r="G93" s="3"/>
      <c r="H93" s="3"/>
      <c r="I93" s="3"/>
      <c r="J93" s="3"/>
      <c r="K93" s="3"/>
      <c r="L93" s="3"/>
      <c r="M93" s="3"/>
      <c r="N93" s="5"/>
      <c r="O93" s="3"/>
      <c r="P93" s="3"/>
    </row>
    <row r="94" spans="1:16" ht="26.1" customHeight="1">
      <c r="A94" s="18"/>
      <c r="B94" s="18"/>
      <c r="C94" s="18"/>
      <c r="D94" s="18"/>
      <c r="E94" s="3"/>
      <c r="F94" s="3"/>
      <c r="G94" s="3"/>
      <c r="H94" s="3"/>
      <c r="I94" s="3"/>
      <c r="J94" s="3"/>
      <c r="K94" s="3"/>
      <c r="L94" s="3"/>
      <c r="M94" s="3"/>
      <c r="N94" s="5"/>
      <c r="O94" s="3"/>
      <c r="P94" s="3"/>
    </row>
    <row r="95" spans="1:16" ht="26.1" customHeight="1">
      <c r="A95" s="18"/>
      <c r="B95" s="18"/>
      <c r="C95" s="18"/>
      <c r="D95" s="18"/>
      <c r="E95" s="3"/>
      <c r="F95" s="3"/>
      <c r="G95" s="3"/>
      <c r="H95" s="3"/>
      <c r="I95" s="3"/>
      <c r="J95" s="3"/>
      <c r="K95" s="3"/>
      <c r="L95" s="3"/>
      <c r="M95" s="3"/>
      <c r="N95" s="5"/>
      <c r="O95" s="3"/>
      <c r="P95" s="3"/>
    </row>
    <row r="96" spans="1:16" ht="26.1" customHeight="1">
      <c r="A96" s="18"/>
      <c r="B96" s="18"/>
      <c r="C96" s="18"/>
      <c r="D96" s="18"/>
      <c r="E96" s="3"/>
      <c r="F96" s="3"/>
      <c r="G96" s="3"/>
      <c r="H96" s="3"/>
      <c r="I96" s="3"/>
      <c r="J96" s="3"/>
      <c r="K96" s="3"/>
      <c r="L96" s="3"/>
      <c r="M96" s="3"/>
      <c r="N96" s="5"/>
      <c r="O96" s="3"/>
      <c r="P96" s="3"/>
    </row>
    <row r="97" spans="1:16" ht="26.1" customHeight="1">
      <c r="A97" s="18"/>
      <c r="B97" s="18"/>
      <c r="C97" s="18"/>
      <c r="D97" s="18"/>
      <c r="E97" s="3"/>
      <c r="F97" s="3"/>
      <c r="G97" s="3"/>
      <c r="H97" s="3"/>
      <c r="I97" s="3"/>
      <c r="J97" s="3"/>
      <c r="K97" s="3"/>
      <c r="L97" s="3"/>
      <c r="M97" s="3"/>
      <c r="N97" s="5"/>
      <c r="O97" s="3"/>
      <c r="P97" s="3"/>
    </row>
    <row r="98" spans="1:16" ht="26.1" customHeight="1">
      <c r="A98" s="18"/>
      <c r="B98" s="18"/>
      <c r="C98" s="18"/>
      <c r="D98" s="18"/>
      <c r="E98" s="3"/>
      <c r="F98" s="3"/>
      <c r="G98" s="3"/>
      <c r="H98" s="3"/>
      <c r="I98" s="3"/>
      <c r="J98" s="3"/>
      <c r="K98" s="3"/>
      <c r="L98" s="3"/>
      <c r="M98" s="3"/>
      <c r="N98" s="5"/>
      <c r="O98" s="3"/>
      <c r="P98" s="3"/>
    </row>
    <row r="99" spans="1:16" ht="26.1" customHeight="1">
      <c r="A99" s="18"/>
      <c r="B99" s="18"/>
      <c r="C99" s="18"/>
      <c r="D99" s="18"/>
      <c r="E99" s="3"/>
      <c r="F99" s="3"/>
      <c r="G99" s="3"/>
      <c r="H99" s="3"/>
      <c r="I99" s="3"/>
      <c r="J99" s="3"/>
      <c r="K99" s="3"/>
      <c r="L99" s="3"/>
      <c r="M99" s="3"/>
      <c r="N99" s="5"/>
      <c r="O99" s="3"/>
      <c r="P99" s="3"/>
    </row>
    <row r="100" spans="1:16" ht="26.1" customHeight="1">
      <c r="A100" s="18"/>
      <c r="B100" s="18"/>
      <c r="C100" s="18"/>
      <c r="D100" s="18"/>
      <c r="E100" s="3"/>
      <c r="F100" s="3"/>
      <c r="G100" s="3"/>
      <c r="H100" s="3"/>
      <c r="I100" s="3"/>
      <c r="J100" s="3"/>
      <c r="K100" s="3"/>
      <c r="L100" s="3"/>
      <c r="M100" s="3"/>
      <c r="N100" s="5"/>
      <c r="O100" s="3"/>
      <c r="P100" s="3"/>
    </row>
    <row r="101" spans="1:16" ht="26.1" customHeight="1">
      <c r="A101" s="18"/>
      <c r="B101" s="18"/>
      <c r="C101" s="18"/>
      <c r="D101" s="18"/>
      <c r="E101" s="3"/>
      <c r="F101" s="3"/>
      <c r="G101" s="3"/>
      <c r="H101" s="3"/>
      <c r="I101" s="3"/>
      <c r="J101" s="3"/>
      <c r="K101" s="3"/>
      <c r="L101" s="3"/>
      <c r="M101" s="3"/>
      <c r="N101" s="5"/>
      <c r="O101" s="3"/>
      <c r="P101" s="3"/>
    </row>
    <row r="102" spans="1:16" ht="26.1" customHeight="1">
      <c r="A102" s="18"/>
      <c r="B102" s="18"/>
      <c r="C102" s="18"/>
      <c r="D102" s="18"/>
      <c r="E102" s="3"/>
      <c r="F102" s="3"/>
      <c r="G102" s="3"/>
      <c r="H102" s="3"/>
      <c r="I102" s="3"/>
      <c r="J102" s="3"/>
      <c r="K102" s="3"/>
      <c r="L102" s="3"/>
      <c r="M102" s="3"/>
      <c r="N102" s="5"/>
      <c r="O102" s="3"/>
      <c r="P102" s="3"/>
    </row>
    <row r="103" spans="1:16" ht="26.1" customHeight="1">
      <c r="A103" s="18"/>
      <c r="B103" s="18"/>
      <c r="C103" s="18"/>
      <c r="D103" s="18"/>
      <c r="E103" s="3"/>
      <c r="F103" s="3"/>
      <c r="G103" s="3"/>
      <c r="H103" s="3"/>
      <c r="I103" s="3"/>
      <c r="J103" s="3"/>
      <c r="K103" s="3"/>
      <c r="L103" s="3"/>
      <c r="M103" s="3"/>
      <c r="N103" s="5"/>
      <c r="O103" s="3"/>
      <c r="P103" s="3"/>
    </row>
    <row r="104" spans="1:16" ht="26.1" customHeight="1">
      <c r="A104" s="18"/>
      <c r="B104" s="18"/>
      <c r="C104" s="18"/>
      <c r="D104" s="18"/>
      <c r="E104" s="3"/>
      <c r="F104" s="3"/>
      <c r="G104" s="3"/>
      <c r="H104" s="3"/>
      <c r="I104" s="3"/>
      <c r="J104" s="3"/>
      <c r="K104" s="3"/>
      <c r="L104" s="3"/>
      <c r="M104" s="3"/>
      <c r="N104" s="5"/>
      <c r="O104" s="3"/>
      <c r="P104" s="3"/>
    </row>
    <row r="105" spans="1:16" ht="26.1" customHeight="1">
      <c r="A105" s="18"/>
      <c r="B105" s="18"/>
      <c r="C105" s="18"/>
      <c r="D105" s="18"/>
      <c r="E105" s="3"/>
      <c r="F105" s="3"/>
      <c r="G105" s="3"/>
      <c r="H105" s="3"/>
      <c r="I105" s="3"/>
      <c r="J105" s="3"/>
      <c r="K105" s="3"/>
      <c r="L105" s="3"/>
      <c r="M105" s="3"/>
      <c r="N105" s="5"/>
      <c r="O105" s="3"/>
      <c r="P105" s="3"/>
    </row>
    <row r="106" spans="1:16" ht="26.1" customHeight="1">
      <c r="A106" s="18"/>
      <c r="B106" s="18"/>
      <c r="C106" s="18"/>
      <c r="D106" s="18"/>
      <c r="E106" s="3"/>
      <c r="F106" s="3"/>
      <c r="G106" s="3"/>
      <c r="H106" s="3"/>
      <c r="I106" s="3"/>
      <c r="J106" s="3"/>
      <c r="K106" s="3"/>
      <c r="L106" s="3"/>
      <c r="M106" s="3"/>
      <c r="N106" s="5"/>
      <c r="O106" s="3"/>
      <c r="P106" s="3"/>
    </row>
    <row r="107" spans="1:16">
      <c r="A107" s="18"/>
      <c r="B107" s="18"/>
      <c r="C107" s="18"/>
      <c r="D107" s="18"/>
      <c r="E107" s="22"/>
      <c r="F107" s="22"/>
      <c r="G107" s="22"/>
      <c r="H107" s="22"/>
      <c r="I107" s="22"/>
      <c r="J107" s="22"/>
      <c r="K107" s="22"/>
      <c r="L107" s="22"/>
      <c r="M107" s="22"/>
      <c r="N107" s="22"/>
      <c r="O107" s="22"/>
      <c r="P107" s="22"/>
    </row>
    <row r="108" spans="1:16">
      <c r="A108" s="18"/>
      <c r="B108" s="18"/>
      <c r="C108" s="18"/>
      <c r="D108" s="18"/>
      <c r="E108" s="22"/>
      <c r="F108" s="22"/>
      <c r="G108" s="22"/>
      <c r="H108" s="22"/>
      <c r="I108" s="22"/>
      <c r="J108" s="22"/>
      <c r="K108" s="22"/>
      <c r="L108" s="22"/>
      <c r="M108" s="22"/>
      <c r="N108" s="22"/>
      <c r="O108" s="22"/>
      <c r="P108" s="22"/>
    </row>
    <row r="109" spans="1:16">
      <c r="A109" s="18"/>
      <c r="B109" s="18"/>
      <c r="C109" s="18"/>
      <c r="D109" s="18"/>
      <c r="E109" s="22"/>
      <c r="F109" s="22"/>
      <c r="G109" s="22"/>
      <c r="H109" s="22"/>
      <c r="I109" s="22"/>
      <c r="J109" s="22"/>
      <c r="K109" s="22"/>
      <c r="L109" s="22"/>
      <c r="M109" s="22"/>
      <c r="N109" s="22"/>
      <c r="O109" s="22"/>
      <c r="P109" s="22"/>
    </row>
    <row r="110" spans="1:16">
      <c r="A110" s="18"/>
      <c r="B110" s="18"/>
      <c r="C110" s="18"/>
      <c r="D110" s="18"/>
      <c r="E110" s="22"/>
      <c r="F110" s="22"/>
      <c r="G110" s="22"/>
      <c r="H110" s="22"/>
      <c r="I110" s="22"/>
      <c r="J110" s="22"/>
      <c r="K110" s="22"/>
      <c r="L110" s="22"/>
      <c r="M110" s="22"/>
      <c r="N110" s="22"/>
      <c r="O110" s="22"/>
      <c r="P110" s="22"/>
    </row>
  </sheetData>
  <mergeCells count="1">
    <mergeCell ref="E5:P5"/>
  </mergeCells>
  <phoneticPr fontId="36" type="noConversion"/>
  <conditionalFormatting sqref="E7:E106">
    <cfRule type="expression" dxfId="15" priority="1">
      <formula>AND(E7&lt;&gt;"",COUNTIFS($E$7:$E$106,E7)&gt;1)</formula>
    </cfRule>
  </conditionalFormatting>
  <conditionalFormatting sqref="J7:K106">
    <cfRule type="cellIs" dxfId="14" priority="2" operator="equal">
      <formula>"Effective"</formula>
    </cfRule>
    <cfRule type="cellIs" dxfId="13" priority="3" operator="equal">
      <formula>"Partially effective"</formula>
    </cfRule>
    <cfRule type="cellIs" dxfId="12" priority="4" operator="equal">
      <formula>"Ineffective"</formula>
    </cfRule>
    <cfRule type="cellIs" dxfId="11" priority="5" operator="equal">
      <formula>"Not assessed"</formula>
    </cfRule>
  </conditionalFormatting>
  <conditionalFormatting sqref="O7:O106">
    <cfRule type="cellIs" dxfId="10" priority="6" operator="equal">
      <formula>"Pending validation"</formula>
    </cfRule>
    <cfRule type="cellIs" dxfId="9" priority="7" operator="equal">
      <formula>"Validated"</formula>
    </cfRule>
    <cfRule type="cellIs" dxfId="8" priority="8" operator="equal">
      <formula>"Rejected"</formula>
    </cfRule>
  </conditionalFormatting>
  <dataValidations count="3">
    <dataValidation type="list" allowBlank="1" showErrorMessage="1" errorTitle="Select an allowed option" error="Choose a dropdown value or leave an unknown input blank." sqref="J7:K106" xr:uid="{00000000-0002-0000-0200-000000000000}">
      <formula1>"Not assessed,Effective,Partially effective,Ineffective,Not applicable"</formula1>
    </dataValidation>
    <dataValidation type="list" allowBlank="1" showErrorMessage="1" errorTitle="Select an allowed option" error="Choose a dropdown value or leave an unknown input blank." sqref="O7:O106" xr:uid="{00000000-0002-0000-0200-000001000000}">
      <formula1>"Pending validation,Validated,Rejected"</formula1>
    </dataValidation>
    <dataValidation type="list" allowBlank="1" showErrorMessage="1" errorTitle="Select an allowed option" error="Choose a dropdown value or leave an unknown input blank." sqref="F7:F106" xr:uid="{00000000-0002-0000-0200-000002000000}">
      <formula1>RiskIDs</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2F47"/>
  </sheetPr>
  <dimension ref="A1:R110"/>
  <sheetViews>
    <sheetView showGridLines="0" zoomScale="85" zoomScaleNormal="85" workbookViewId="0">
      <pane xSplit="6" ySplit="6" topLeftCell="G7" activePane="bottomRight" state="frozen"/>
      <selection pane="topRight"/>
      <selection pane="bottomLeft"/>
      <selection pane="bottomRight" activeCell="R12" sqref="R12"/>
    </sheetView>
  </sheetViews>
  <sheetFormatPr defaultRowHeight="14.25"/>
  <cols>
    <col min="1" max="4" width="7.25" customWidth="1"/>
    <col min="5" max="5" width="15" customWidth="1"/>
    <col min="6" max="6" width="13" customWidth="1"/>
    <col min="7" max="7" width="15" customWidth="1"/>
    <col min="8" max="8" width="45" customWidth="1"/>
    <col min="9" max="9" width="46" customWidth="1"/>
    <col min="10" max="10" width="26" customWidth="1"/>
    <col min="11" max="13" width="18" customWidth="1"/>
    <col min="14" max="14" width="23" customWidth="1"/>
    <col min="15" max="15" width="40" customWidth="1"/>
    <col min="16" max="16" width="24" customWidth="1"/>
    <col min="17" max="17" width="22" customWidth="1"/>
    <col min="18" max="18" width="48" customWidth="1"/>
  </cols>
  <sheetData>
    <row r="1" spans="1:18" ht="28.5" customHeight="1">
      <c r="A1" s="18"/>
      <c r="B1" s="18"/>
      <c r="C1" s="18"/>
      <c r="D1" s="18"/>
      <c r="E1" s="14"/>
      <c r="F1" s="14"/>
      <c r="G1" s="14"/>
      <c r="H1" s="14"/>
      <c r="I1" s="14"/>
      <c r="J1" s="14"/>
      <c r="K1" s="14"/>
      <c r="L1" s="14"/>
      <c r="M1" s="14"/>
      <c r="N1" s="14"/>
      <c r="O1" s="14"/>
      <c r="P1" s="14"/>
      <c r="Q1" s="14"/>
      <c r="R1" s="14"/>
    </row>
    <row r="2" spans="1:18" ht="28.5" customHeight="1">
      <c r="A2" s="18"/>
      <c r="B2" s="18"/>
      <c r="C2" s="18"/>
      <c r="D2" s="18"/>
      <c r="E2" s="14"/>
      <c r="F2" s="14"/>
      <c r="G2" s="14"/>
      <c r="H2" s="14"/>
      <c r="I2" s="14"/>
      <c r="J2" s="14"/>
      <c r="K2" s="14"/>
      <c r="L2" s="14"/>
      <c r="M2" s="14"/>
      <c r="N2" s="14"/>
      <c r="O2" s="14"/>
      <c r="P2" s="14"/>
      <c r="Q2" s="14"/>
      <c r="R2" s="14"/>
    </row>
    <row r="3" spans="1:18" ht="15" customHeight="1">
      <c r="A3" s="18"/>
      <c r="B3" s="18"/>
      <c r="C3" s="18"/>
      <c r="D3" s="18"/>
      <c r="E3" s="15"/>
      <c r="F3" s="15"/>
      <c r="G3" s="15"/>
      <c r="H3" s="15"/>
      <c r="I3" s="15"/>
      <c r="J3" s="15"/>
      <c r="K3" s="15"/>
      <c r="L3" s="15"/>
      <c r="M3" s="15"/>
      <c r="N3" s="15"/>
      <c r="O3" s="15"/>
      <c r="P3" s="15"/>
      <c r="Q3" s="15"/>
      <c r="R3" s="15"/>
    </row>
    <row r="4" spans="1:18" ht="15" customHeight="1">
      <c r="A4" s="18"/>
      <c r="B4" s="18"/>
      <c r="C4" s="18"/>
      <c r="D4" s="18"/>
      <c r="E4" s="15"/>
      <c r="F4" s="15"/>
      <c r="G4" s="15"/>
      <c r="H4" s="15"/>
      <c r="I4" s="15"/>
      <c r="J4" s="15"/>
      <c r="K4" s="15"/>
      <c r="L4" s="15"/>
      <c r="M4" s="15"/>
      <c r="N4" s="15"/>
      <c r="O4" s="15"/>
      <c r="P4" s="15"/>
      <c r="Q4" s="15"/>
      <c r="R4" s="15"/>
    </row>
    <row r="5" spans="1:18" ht="21" customHeight="1">
      <c r="A5" s="18"/>
      <c r="B5" s="18"/>
      <c r="C5" s="18"/>
      <c r="D5" s="18"/>
      <c r="E5" s="44" t="s">
        <v>28</v>
      </c>
      <c r="F5" s="44"/>
      <c r="G5" s="44"/>
      <c r="H5" s="44"/>
      <c r="I5" s="44"/>
      <c r="J5" s="44"/>
      <c r="K5" s="44"/>
      <c r="L5" s="44"/>
      <c r="M5" s="44"/>
      <c r="N5" s="44"/>
      <c r="O5" s="44"/>
      <c r="P5" s="44"/>
      <c r="Q5" s="44"/>
      <c r="R5" s="44"/>
    </row>
    <row r="6" spans="1:18" ht="45.95" customHeight="1">
      <c r="A6" s="18"/>
      <c r="B6" s="18"/>
      <c r="C6" s="18"/>
      <c r="D6" s="18"/>
      <c r="E6" s="2" t="s">
        <v>91</v>
      </c>
      <c r="F6" s="2" t="s">
        <v>29</v>
      </c>
      <c r="G6" s="2" t="s">
        <v>69</v>
      </c>
      <c r="H6" s="2" t="s">
        <v>92</v>
      </c>
      <c r="I6" s="2" t="s">
        <v>93</v>
      </c>
      <c r="J6" s="2" t="s">
        <v>94</v>
      </c>
      <c r="K6" s="2" t="s">
        <v>95</v>
      </c>
      <c r="L6" s="2" t="s">
        <v>96</v>
      </c>
      <c r="M6" s="2" t="s">
        <v>97</v>
      </c>
      <c r="N6" s="2" t="s">
        <v>98</v>
      </c>
      <c r="O6" s="2" t="s">
        <v>99</v>
      </c>
      <c r="P6" s="2" t="s">
        <v>100</v>
      </c>
      <c r="Q6" s="2" t="s">
        <v>41</v>
      </c>
      <c r="R6" s="2" t="s">
        <v>101</v>
      </c>
    </row>
    <row r="7" spans="1:18" ht="71.25">
      <c r="A7" s="18"/>
      <c r="B7" s="18"/>
      <c r="C7" s="18"/>
      <c r="D7" s="18"/>
      <c r="E7" s="3" t="s">
        <v>83</v>
      </c>
      <c r="F7" s="3" t="s">
        <v>50</v>
      </c>
      <c r="G7" s="3" t="s">
        <v>78</v>
      </c>
      <c r="H7" s="24" t="s">
        <v>102</v>
      </c>
      <c r="I7" s="3" t="s">
        <v>103</v>
      </c>
      <c r="J7" s="24" t="s">
        <v>104</v>
      </c>
      <c r="K7" s="5"/>
      <c r="L7" s="5"/>
      <c r="M7" s="5"/>
      <c r="N7" s="3" t="s">
        <v>105</v>
      </c>
      <c r="O7" s="3"/>
      <c r="P7" s="3"/>
      <c r="Q7" s="3" t="s">
        <v>58</v>
      </c>
      <c r="R7" s="3" t="s">
        <v>106</v>
      </c>
    </row>
    <row r="8" spans="1:18" ht="57">
      <c r="A8" s="18"/>
      <c r="B8" s="18"/>
      <c r="C8" s="18"/>
      <c r="D8" s="18"/>
      <c r="E8" s="3" t="s">
        <v>89</v>
      </c>
      <c r="F8" s="3" t="s">
        <v>61</v>
      </c>
      <c r="G8" s="3" t="s">
        <v>85</v>
      </c>
      <c r="H8" s="3" t="s">
        <v>107</v>
      </c>
      <c r="I8" s="3" t="s">
        <v>108</v>
      </c>
      <c r="J8" s="24" t="s">
        <v>109</v>
      </c>
      <c r="K8" s="5"/>
      <c r="L8" s="5"/>
      <c r="M8" s="5"/>
      <c r="N8" s="3" t="s">
        <v>105</v>
      </c>
      <c r="O8" s="3"/>
      <c r="P8" s="3"/>
      <c r="Q8" s="3" t="s">
        <v>58</v>
      </c>
      <c r="R8" s="3" t="s">
        <v>110</v>
      </c>
    </row>
    <row r="9" spans="1:18" ht="99.75">
      <c r="A9" s="18"/>
      <c r="B9" s="18"/>
      <c r="C9" s="18"/>
      <c r="D9" s="18"/>
      <c r="E9" s="3" t="s">
        <v>213</v>
      </c>
      <c r="F9" s="3" t="s">
        <v>201</v>
      </c>
      <c r="G9" s="3" t="s">
        <v>209</v>
      </c>
      <c r="H9" s="24" t="s">
        <v>216</v>
      </c>
      <c r="I9" s="24" t="s">
        <v>215</v>
      </c>
      <c r="J9" s="24" t="s">
        <v>217</v>
      </c>
      <c r="K9" s="5"/>
      <c r="L9" s="5"/>
      <c r="M9" s="5"/>
      <c r="N9" s="3" t="s">
        <v>105</v>
      </c>
      <c r="O9" s="3"/>
      <c r="P9" s="3"/>
      <c r="Q9" s="3" t="s">
        <v>58</v>
      </c>
      <c r="R9" s="3" t="s">
        <v>218</v>
      </c>
    </row>
    <row r="10" spans="1:18" ht="26.1" customHeight="1">
      <c r="A10" s="18"/>
      <c r="B10" s="18"/>
      <c r="C10" s="18"/>
      <c r="D10" s="18"/>
      <c r="E10" s="3"/>
      <c r="F10" s="3"/>
      <c r="G10" s="3"/>
      <c r="H10" s="3"/>
      <c r="I10" s="3"/>
      <c r="J10" s="3"/>
      <c r="K10" s="5"/>
      <c r="L10" s="5"/>
      <c r="M10" s="5"/>
      <c r="N10" s="3"/>
      <c r="O10" s="3"/>
      <c r="P10" s="3"/>
      <c r="Q10" s="3"/>
      <c r="R10" s="3"/>
    </row>
    <row r="11" spans="1:18" ht="26.1" customHeight="1">
      <c r="A11" s="18"/>
      <c r="B11" s="18"/>
      <c r="C11" s="18"/>
      <c r="D11" s="18"/>
      <c r="E11" s="3"/>
      <c r="F11" s="3"/>
      <c r="G11" s="3"/>
      <c r="H11" s="3"/>
      <c r="I11" s="3"/>
      <c r="J11" s="3"/>
      <c r="K11" s="5"/>
      <c r="L11" s="5"/>
      <c r="M11" s="5"/>
      <c r="N11" s="3"/>
      <c r="O11" s="3"/>
      <c r="P11" s="3"/>
      <c r="Q11" s="3"/>
      <c r="R11" s="3"/>
    </row>
    <row r="12" spans="1:18" ht="26.1" customHeight="1">
      <c r="A12" s="18"/>
      <c r="B12" s="18"/>
      <c r="C12" s="18"/>
      <c r="D12" s="18"/>
      <c r="E12" s="3"/>
      <c r="F12" s="3"/>
      <c r="G12" s="3"/>
      <c r="H12" s="3"/>
      <c r="I12" s="3"/>
      <c r="J12" s="3"/>
      <c r="K12" s="5"/>
      <c r="L12" s="5"/>
      <c r="M12" s="5"/>
      <c r="N12" s="3"/>
      <c r="O12" s="3"/>
      <c r="P12" s="3"/>
      <c r="Q12" s="3"/>
      <c r="R12" s="3"/>
    </row>
    <row r="13" spans="1:18" ht="26.1" customHeight="1">
      <c r="A13" s="18"/>
      <c r="B13" s="18"/>
      <c r="C13" s="18"/>
      <c r="D13" s="18"/>
      <c r="E13" s="3"/>
      <c r="F13" s="3"/>
      <c r="G13" s="3"/>
      <c r="H13" s="3"/>
      <c r="I13" s="3"/>
      <c r="J13" s="3"/>
      <c r="K13" s="5"/>
      <c r="L13" s="5"/>
      <c r="M13" s="5"/>
      <c r="N13" s="3"/>
      <c r="O13" s="3"/>
      <c r="P13" s="3"/>
      <c r="Q13" s="3"/>
      <c r="R13" s="3"/>
    </row>
    <row r="14" spans="1:18" ht="26.1" customHeight="1">
      <c r="A14" s="18"/>
      <c r="B14" s="18"/>
      <c r="C14" s="18"/>
      <c r="D14" s="18"/>
      <c r="E14" s="3"/>
      <c r="F14" s="3"/>
      <c r="G14" s="3"/>
      <c r="H14" s="3"/>
      <c r="I14" s="3"/>
      <c r="J14" s="3"/>
      <c r="K14" s="5"/>
      <c r="L14" s="5"/>
      <c r="M14" s="5"/>
      <c r="N14" s="3"/>
      <c r="O14" s="3"/>
      <c r="P14" s="3"/>
      <c r="Q14" s="3"/>
      <c r="R14" s="3"/>
    </row>
    <row r="15" spans="1:18" ht="26.1" customHeight="1">
      <c r="A15" s="18"/>
      <c r="B15" s="18"/>
      <c r="C15" s="18"/>
      <c r="D15" s="18"/>
      <c r="E15" s="3"/>
      <c r="F15" s="3"/>
      <c r="G15" s="3"/>
      <c r="H15" s="3"/>
      <c r="I15" s="3"/>
      <c r="J15" s="3"/>
      <c r="K15" s="5"/>
      <c r="L15" s="5"/>
      <c r="M15" s="5"/>
      <c r="N15" s="3"/>
      <c r="O15" s="3"/>
      <c r="P15" s="3"/>
      <c r="Q15" s="3"/>
      <c r="R15" s="3"/>
    </row>
    <row r="16" spans="1:18" ht="26.1" customHeight="1">
      <c r="A16" s="18"/>
      <c r="B16" s="18"/>
      <c r="C16" s="18"/>
      <c r="D16" s="18"/>
      <c r="E16" s="3"/>
      <c r="F16" s="3"/>
      <c r="G16" s="3"/>
      <c r="H16" s="3"/>
      <c r="I16" s="3"/>
      <c r="J16" s="3"/>
      <c r="K16" s="5"/>
      <c r="L16" s="5"/>
      <c r="M16" s="5"/>
      <c r="N16" s="3"/>
      <c r="O16" s="3"/>
      <c r="P16" s="3"/>
      <c r="Q16" s="3"/>
      <c r="R16" s="3"/>
    </row>
    <row r="17" spans="1:18" ht="26.1" customHeight="1">
      <c r="A17" s="18"/>
      <c r="B17" s="18"/>
      <c r="C17" s="18"/>
      <c r="D17" s="18"/>
      <c r="E17" s="3"/>
      <c r="F17" s="3"/>
      <c r="G17" s="3"/>
      <c r="H17" s="3"/>
      <c r="I17" s="3"/>
      <c r="J17" s="3"/>
      <c r="K17" s="5"/>
      <c r="L17" s="5"/>
      <c r="M17" s="5"/>
      <c r="N17" s="3"/>
      <c r="O17" s="3"/>
      <c r="P17" s="3"/>
      <c r="Q17" s="3"/>
      <c r="R17" s="3"/>
    </row>
    <row r="18" spans="1:18" ht="26.1" customHeight="1">
      <c r="A18" s="18"/>
      <c r="B18" s="18"/>
      <c r="C18" s="18"/>
      <c r="D18" s="18"/>
      <c r="E18" s="3"/>
      <c r="F18" s="3"/>
      <c r="G18" s="3"/>
      <c r="H18" s="3"/>
      <c r="I18" s="3"/>
      <c r="J18" s="3"/>
      <c r="K18" s="5"/>
      <c r="L18" s="5"/>
      <c r="M18" s="5"/>
      <c r="N18" s="3"/>
      <c r="O18" s="3"/>
      <c r="P18" s="3"/>
      <c r="Q18" s="3"/>
      <c r="R18" s="3"/>
    </row>
    <row r="19" spans="1:18" ht="26.1" customHeight="1">
      <c r="A19" s="18"/>
      <c r="B19" s="18"/>
      <c r="C19" s="18"/>
      <c r="D19" s="18"/>
      <c r="E19" s="3"/>
      <c r="F19" s="3"/>
      <c r="G19" s="3"/>
      <c r="H19" s="3"/>
      <c r="I19" s="3"/>
      <c r="J19" s="3"/>
      <c r="K19" s="5"/>
      <c r="L19" s="5"/>
      <c r="M19" s="5"/>
      <c r="N19" s="3"/>
      <c r="O19" s="3"/>
      <c r="P19" s="3"/>
      <c r="Q19" s="3"/>
      <c r="R19" s="3"/>
    </row>
    <row r="20" spans="1:18" ht="26.1" customHeight="1">
      <c r="A20" s="18"/>
      <c r="B20" s="18"/>
      <c r="C20" s="18"/>
      <c r="D20" s="18"/>
      <c r="E20" s="3"/>
      <c r="F20" s="3"/>
      <c r="G20" s="3"/>
      <c r="H20" s="3"/>
      <c r="I20" s="3"/>
      <c r="J20" s="3"/>
      <c r="K20" s="5"/>
      <c r="L20" s="5"/>
      <c r="M20" s="5"/>
      <c r="N20" s="3"/>
      <c r="O20" s="3"/>
      <c r="P20" s="3"/>
      <c r="Q20" s="3"/>
      <c r="R20" s="3"/>
    </row>
    <row r="21" spans="1:18" ht="26.1" customHeight="1">
      <c r="A21" s="18"/>
      <c r="B21" s="18"/>
      <c r="C21" s="18"/>
      <c r="D21" s="18"/>
      <c r="E21" s="3"/>
      <c r="F21" s="3"/>
      <c r="G21" s="3"/>
      <c r="H21" s="3"/>
      <c r="I21" s="3"/>
      <c r="J21" s="3"/>
      <c r="K21" s="5"/>
      <c r="L21" s="5"/>
      <c r="M21" s="5"/>
      <c r="N21" s="3"/>
      <c r="O21" s="3"/>
      <c r="P21" s="3"/>
      <c r="Q21" s="3"/>
      <c r="R21" s="3"/>
    </row>
    <row r="22" spans="1:18" ht="26.1" customHeight="1">
      <c r="A22" s="18"/>
      <c r="B22" s="18"/>
      <c r="C22" s="18"/>
      <c r="D22" s="18"/>
      <c r="E22" s="3"/>
      <c r="F22" s="3"/>
      <c r="G22" s="3"/>
      <c r="H22" s="3"/>
      <c r="I22" s="3"/>
      <c r="J22" s="3"/>
      <c r="K22" s="5"/>
      <c r="L22" s="5"/>
      <c r="M22" s="5"/>
      <c r="N22" s="3"/>
      <c r="O22" s="3"/>
      <c r="P22" s="3"/>
      <c r="Q22" s="3"/>
      <c r="R22" s="3"/>
    </row>
    <row r="23" spans="1:18" ht="26.1" customHeight="1">
      <c r="A23" s="18"/>
      <c r="B23" s="18"/>
      <c r="C23" s="18"/>
      <c r="D23" s="18"/>
      <c r="E23" s="3"/>
      <c r="F23" s="3"/>
      <c r="G23" s="3"/>
      <c r="H23" s="3"/>
      <c r="I23" s="3"/>
      <c r="J23" s="3"/>
      <c r="K23" s="5"/>
      <c r="L23" s="5"/>
      <c r="M23" s="5"/>
      <c r="N23" s="3"/>
      <c r="O23" s="3"/>
      <c r="P23" s="3"/>
      <c r="Q23" s="3"/>
      <c r="R23" s="3"/>
    </row>
    <row r="24" spans="1:18" ht="26.1" customHeight="1">
      <c r="A24" s="18"/>
      <c r="B24" s="18"/>
      <c r="C24" s="18"/>
      <c r="D24" s="18"/>
      <c r="E24" s="3"/>
      <c r="F24" s="3"/>
      <c r="G24" s="3"/>
      <c r="H24" s="3"/>
      <c r="I24" s="3"/>
      <c r="J24" s="3"/>
      <c r="K24" s="5"/>
      <c r="L24" s="5"/>
      <c r="M24" s="5"/>
      <c r="N24" s="3"/>
      <c r="O24" s="3"/>
      <c r="P24" s="3"/>
      <c r="Q24" s="3"/>
      <c r="R24" s="3"/>
    </row>
    <row r="25" spans="1:18" ht="26.1" customHeight="1">
      <c r="A25" s="18"/>
      <c r="B25" s="18"/>
      <c r="C25" s="18"/>
      <c r="D25" s="18"/>
      <c r="E25" s="3"/>
      <c r="F25" s="3"/>
      <c r="G25" s="3"/>
      <c r="H25" s="3"/>
      <c r="I25" s="3"/>
      <c r="J25" s="3"/>
      <c r="K25" s="5"/>
      <c r="L25" s="5"/>
      <c r="M25" s="5"/>
      <c r="N25" s="3"/>
      <c r="O25" s="3"/>
      <c r="P25" s="3"/>
      <c r="Q25" s="3"/>
      <c r="R25" s="3"/>
    </row>
    <row r="26" spans="1:18" ht="26.1" customHeight="1">
      <c r="A26" s="18"/>
      <c r="B26" s="18"/>
      <c r="C26" s="18"/>
      <c r="D26" s="18"/>
      <c r="E26" s="3"/>
      <c r="F26" s="3"/>
      <c r="G26" s="3"/>
      <c r="H26" s="3"/>
      <c r="I26" s="3"/>
      <c r="J26" s="3"/>
      <c r="K26" s="5"/>
      <c r="L26" s="5"/>
      <c r="M26" s="5"/>
      <c r="N26" s="3"/>
      <c r="O26" s="3"/>
      <c r="P26" s="3"/>
      <c r="Q26" s="3"/>
      <c r="R26" s="3"/>
    </row>
    <row r="27" spans="1:18" ht="26.1" customHeight="1">
      <c r="A27" s="18"/>
      <c r="B27" s="18"/>
      <c r="C27" s="18"/>
      <c r="D27" s="18"/>
      <c r="E27" s="3"/>
      <c r="F27" s="3"/>
      <c r="G27" s="3"/>
      <c r="H27" s="3"/>
      <c r="I27" s="3"/>
      <c r="J27" s="3"/>
      <c r="K27" s="5"/>
      <c r="L27" s="5"/>
      <c r="M27" s="5"/>
      <c r="N27" s="3"/>
      <c r="O27" s="3"/>
      <c r="P27" s="3"/>
      <c r="Q27" s="3"/>
      <c r="R27" s="3"/>
    </row>
    <row r="28" spans="1:18" ht="26.1" customHeight="1">
      <c r="A28" s="18"/>
      <c r="B28" s="18"/>
      <c r="C28" s="18"/>
      <c r="D28" s="18"/>
      <c r="E28" s="3"/>
      <c r="F28" s="3"/>
      <c r="G28" s="3"/>
      <c r="H28" s="3"/>
      <c r="I28" s="3"/>
      <c r="J28" s="3"/>
      <c r="K28" s="5"/>
      <c r="L28" s="5"/>
      <c r="M28" s="5"/>
      <c r="N28" s="3"/>
      <c r="O28" s="3"/>
      <c r="P28" s="3"/>
      <c r="Q28" s="3"/>
      <c r="R28" s="3"/>
    </row>
    <row r="29" spans="1:18" ht="26.1" customHeight="1">
      <c r="A29" s="18"/>
      <c r="B29" s="18"/>
      <c r="C29" s="18"/>
      <c r="D29" s="18"/>
      <c r="E29" s="3"/>
      <c r="F29" s="3"/>
      <c r="G29" s="3"/>
      <c r="H29" s="3"/>
      <c r="I29" s="3"/>
      <c r="J29" s="3"/>
      <c r="K29" s="5"/>
      <c r="L29" s="5"/>
      <c r="M29" s="5"/>
      <c r="N29" s="3"/>
      <c r="O29" s="3"/>
      <c r="P29" s="3"/>
      <c r="Q29" s="3"/>
      <c r="R29" s="3"/>
    </row>
    <row r="30" spans="1:18" ht="26.1" customHeight="1">
      <c r="A30" s="18"/>
      <c r="B30" s="18"/>
      <c r="C30" s="18"/>
      <c r="D30" s="18"/>
      <c r="E30" s="3"/>
      <c r="F30" s="3"/>
      <c r="G30" s="3"/>
      <c r="H30" s="3"/>
      <c r="I30" s="3"/>
      <c r="J30" s="3"/>
      <c r="K30" s="5"/>
      <c r="L30" s="5"/>
      <c r="M30" s="5"/>
      <c r="N30" s="3"/>
      <c r="O30" s="3"/>
      <c r="P30" s="3"/>
      <c r="Q30" s="3"/>
      <c r="R30" s="3"/>
    </row>
    <row r="31" spans="1:18" ht="26.1" customHeight="1">
      <c r="A31" s="18"/>
      <c r="B31" s="18"/>
      <c r="C31" s="18"/>
      <c r="D31" s="18"/>
      <c r="E31" s="3"/>
      <c r="F31" s="3"/>
      <c r="G31" s="3"/>
      <c r="H31" s="3"/>
      <c r="I31" s="3"/>
      <c r="J31" s="3"/>
      <c r="K31" s="5"/>
      <c r="L31" s="5"/>
      <c r="M31" s="5"/>
      <c r="N31" s="3"/>
      <c r="O31" s="3"/>
      <c r="P31" s="3"/>
      <c r="Q31" s="3"/>
      <c r="R31" s="3"/>
    </row>
    <row r="32" spans="1:18" ht="26.1" customHeight="1">
      <c r="A32" s="18"/>
      <c r="B32" s="18"/>
      <c r="C32" s="18"/>
      <c r="D32" s="18"/>
      <c r="E32" s="3"/>
      <c r="F32" s="3"/>
      <c r="G32" s="3"/>
      <c r="H32" s="3"/>
      <c r="I32" s="3"/>
      <c r="J32" s="3"/>
      <c r="K32" s="5"/>
      <c r="L32" s="5"/>
      <c r="M32" s="5"/>
      <c r="N32" s="3"/>
      <c r="O32" s="3"/>
      <c r="P32" s="3"/>
      <c r="Q32" s="3"/>
      <c r="R32" s="3"/>
    </row>
    <row r="33" spans="1:18" ht="26.1" customHeight="1">
      <c r="A33" s="18"/>
      <c r="B33" s="18"/>
      <c r="C33" s="18"/>
      <c r="D33" s="18"/>
      <c r="E33" s="3"/>
      <c r="F33" s="3"/>
      <c r="G33" s="3"/>
      <c r="H33" s="3"/>
      <c r="I33" s="3"/>
      <c r="J33" s="3"/>
      <c r="K33" s="5"/>
      <c r="L33" s="5"/>
      <c r="M33" s="5"/>
      <c r="N33" s="3"/>
      <c r="O33" s="3"/>
      <c r="P33" s="3"/>
      <c r="Q33" s="3"/>
      <c r="R33" s="3"/>
    </row>
    <row r="34" spans="1:18" ht="26.1" customHeight="1">
      <c r="A34" s="18"/>
      <c r="B34" s="18"/>
      <c r="C34" s="18"/>
      <c r="D34" s="18"/>
      <c r="E34" s="3"/>
      <c r="F34" s="3"/>
      <c r="G34" s="3"/>
      <c r="H34" s="3"/>
      <c r="I34" s="3"/>
      <c r="J34" s="3"/>
      <c r="K34" s="5"/>
      <c r="L34" s="5"/>
      <c r="M34" s="5"/>
      <c r="N34" s="3"/>
      <c r="O34" s="3"/>
      <c r="P34" s="3"/>
      <c r="Q34" s="3"/>
      <c r="R34" s="3"/>
    </row>
    <row r="35" spans="1:18" ht="26.1" customHeight="1">
      <c r="A35" s="18"/>
      <c r="B35" s="18"/>
      <c r="C35" s="18"/>
      <c r="D35" s="18"/>
      <c r="E35" s="3"/>
      <c r="F35" s="3"/>
      <c r="G35" s="3"/>
      <c r="H35" s="3"/>
      <c r="I35" s="3"/>
      <c r="J35" s="3"/>
      <c r="K35" s="5"/>
      <c r="L35" s="5"/>
      <c r="M35" s="5"/>
      <c r="N35" s="3"/>
      <c r="O35" s="3"/>
      <c r="P35" s="3"/>
      <c r="Q35" s="3"/>
      <c r="R35" s="3"/>
    </row>
    <row r="36" spans="1:18" ht="26.1" customHeight="1">
      <c r="A36" s="18"/>
      <c r="B36" s="18"/>
      <c r="C36" s="18"/>
      <c r="D36" s="18"/>
      <c r="E36" s="3"/>
      <c r="F36" s="3"/>
      <c r="G36" s="3"/>
      <c r="H36" s="3"/>
      <c r="I36" s="3"/>
      <c r="J36" s="3"/>
      <c r="K36" s="5"/>
      <c r="L36" s="5"/>
      <c r="M36" s="5"/>
      <c r="N36" s="3"/>
      <c r="O36" s="3"/>
      <c r="P36" s="3"/>
      <c r="Q36" s="3"/>
      <c r="R36" s="3"/>
    </row>
    <row r="37" spans="1:18" ht="26.1" customHeight="1">
      <c r="A37" s="18"/>
      <c r="B37" s="18"/>
      <c r="C37" s="18"/>
      <c r="D37" s="18"/>
      <c r="E37" s="3"/>
      <c r="F37" s="3"/>
      <c r="G37" s="3"/>
      <c r="H37" s="3"/>
      <c r="I37" s="3"/>
      <c r="J37" s="3"/>
      <c r="K37" s="5"/>
      <c r="L37" s="5"/>
      <c r="M37" s="5"/>
      <c r="N37" s="3"/>
      <c r="O37" s="3"/>
      <c r="P37" s="3"/>
      <c r="Q37" s="3"/>
      <c r="R37" s="3"/>
    </row>
    <row r="38" spans="1:18" ht="26.1" customHeight="1">
      <c r="A38" s="18"/>
      <c r="B38" s="18"/>
      <c r="C38" s="18"/>
      <c r="D38" s="18"/>
      <c r="E38" s="3"/>
      <c r="F38" s="3"/>
      <c r="G38" s="3"/>
      <c r="H38" s="3"/>
      <c r="I38" s="3"/>
      <c r="J38" s="3"/>
      <c r="K38" s="5"/>
      <c r="L38" s="5"/>
      <c r="M38" s="5"/>
      <c r="N38" s="3"/>
      <c r="O38" s="3"/>
      <c r="P38" s="3"/>
      <c r="Q38" s="3"/>
      <c r="R38" s="3"/>
    </row>
    <row r="39" spans="1:18" ht="26.1" customHeight="1">
      <c r="A39" s="18"/>
      <c r="B39" s="18"/>
      <c r="C39" s="18"/>
      <c r="D39" s="18"/>
      <c r="E39" s="3"/>
      <c r="F39" s="3"/>
      <c r="G39" s="3"/>
      <c r="H39" s="3"/>
      <c r="I39" s="3"/>
      <c r="J39" s="3"/>
      <c r="K39" s="5"/>
      <c r="L39" s="5"/>
      <c r="M39" s="5"/>
      <c r="N39" s="3"/>
      <c r="O39" s="3"/>
      <c r="P39" s="3"/>
      <c r="Q39" s="3"/>
      <c r="R39" s="3"/>
    </row>
    <row r="40" spans="1:18" ht="26.1" customHeight="1">
      <c r="A40" s="18"/>
      <c r="B40" s="18"/>
      <c r="C40" s="18"/>
      <c r="D40" s="18"/>
      <c r="E40" s="3"/>
      <c r="F40" s="3"/>
      <c r="G40" s="3"/>
      <c r="H40" s="3"/>
      <c r="I40" s="3"/>
      <c r="J40" s="3"/>
      <c r="K40" s="5"/>
      <c r="L40" s="5"/>
      <c r="M40" s="5"/>
      <c r="N40" s="3"/>
      <c r="O40" s="3"/>
      <c r="P40" s="3"/>
      <c r="Q40" s="3"/>
      <c r="R40" s="3"/>
    </row>
    <row r="41" spans="1:18" ht="26.1" customHeight="1">
      <c r="A41" s="18"/>
      <c r="B41" s="18"/>
      <c r="C41" s="18"/>
      <c r="D41" s="18"/>
      <c r="E41" s="3"/>
      <c r="F41" s="3"/>
      <c r="G41" s="3"/>
      <c r="H41" s="3"/>
      <c r="I41" s="3"/>
      <c r="J41" s="3"/>
      <c r="K41" s="5"/>
      <c r="L41" s="5"/>
      <c r="M41" s="5"/>
      <c r="N41" s="3"/>
      <c r="O41" s="3"/>
      <c r="P41" s="3"/>
      <c r="Q41" s="3"/>
      <c r="R41" s="3"/>
    </row>
    <row r="42" spans="1:18" ht="26.1" customHeight="1">
      <c r="A42" s="18"/>
      <c r="B42" s="18"/>
      <c r="C42" s="18"/>
      <c r="D42" s="18"/>
      <c r="E42" s="3"/>
      <c r="F42" s="3"/>
      <c r="G42" s="3"/>
      <c r="H42" s="3"/>
      <c r="I42" s="3"/>
      <c r="J42" s="3"/>
      <c r="K42" s="5"/>
      <c r="L42" s="5"/>
      <c r="M42" s="5"/>
      <c r="N42" s="3"/>
      <c r="O42" s="3"/>
      <c r="P42" s="3"/>
      <c r="Q42" s="3"/>
      <c r="R42" s="3"/>
    </row>
    <row r="43" spans="1:18" ht="26.1" customHeight="1">
      <c r="A43" s="18"/>
      <c r="B43" s="18"/>
      <c r="C43" s="18"/>
      <c r="D43" s="18"/>
      <c r="E43" s="3"/>
      <c r="F43" s="3"/>
      <c r="G43" s="3"/>
      <c r="H43" s="3"/>
      <c r="I43" s="3"/>
      <c r="J43" s="3"/>
      <c r="K43" s="5"/>
      <c r="L43" s="5"/>
      <c r="M43" s="5"/>
      <c r="N43" s="3"/>
      <c r="O43" s="3"/>
      <c r="P43" s="3"/>
      <c r="Q43" s="3"/>
      <c r="R43" s="3"/>
    </row>
    <row r="44" spans="1:18" ht="26.1" customHeight="1">
      <c r="A44" s="18"/>
      <c r="B44" s="18"/>
      <c r="C44" s="18"/>
      <c r="D44" s="18"/>
      <c r="E44" s="3"/>
      <c r="F44" s="3"/>
      <c r="G44" s="3"/>
      <c r="H44" s="3"/>
      <c r="I44" s="3"/>
      <c r="J44" s="3"/>
      <c r="K44" s="5"/>
      <c r="L44" s="5"/>
      <c r="M44" s="5"/>
      <c r="N44" s="3"/>
      <c r="O44" s="3"/>
      <c r="P44" s="3"/>
      <c r="Q44" s="3"/>
      <c r="R44" s="3"/>
    </row>
    <row r="45" spans="1:18" ht="26.1" customHeight="1">
      <c r="A45" s="18"/>
      <c r="B45" s="18"/>
      <c r="C45" s="18"/>
      <c r="D45" s="18"/>
      <c r="E45" s="3"/>
      <c r="F45" s="3"/>
      <c r="G45" s="3"/>
      <c r="H45" s="3"/>
      <c r="I45" s="3"/>
      <c r="J45" s="3"/>
      <c r="K45" s="5"/>
      <c r="L45" s="5"/>
      <c r="M45" s="5"/>
      <c r="N45" s="3"/>
      <c r="O45" s="3"/>
      <c r="P45" s="3"/>
      <c r="Q45" s="3"/>
      <c r="R45" s="3"/>
    </row>
    <row r="46" spans="1:18" ht="26.1" customHeight="1">
      <c r="A46" s="18"/>
      <c r="B46" s="18"/>
      <c r="C46" s="18"/>
      <c r="D46" s="18"/>
      <c r="E46" s="3"/>
      <c r="F46" s="3"/>
      <c r="G46" s="3"/>
      <c r="H46" s="3"/>
      <c r="I46" s="3"/>
      <c r="J46" s="3"/>
      <c r="K46" s="5"/>
      <c r="L46" s="5"/>
      <c r="M46" s="5"/>
      <c r="N46" s="3"/>
      <c r="O46" s="3"/>
      <c r="P46" s="3"/>
      <c r="Q46" s="3"/>
      <c r="R46" s="3"/>
    </row>
    <row r="47" spans="1:18" ht="26.1" customHeight="1">
      <c r="A47" s="18"/>
      <c r="B47" s="18"/>
      <c r="C47" s="18"/>
      <c r="D47" s="18"/>
      <c r="E47" s="3"/>
      <c r="F47" s="3"/>
      <c r="G47" s="3"/>
      <c r="H47" s="3"/>
      <c r="I47" s="3"/>
      <c r="J47" s="3"/>
      <c r="K47" s="5"/>
      <c r="L47" s="5"/>
      <c r="M47" s="5"/>
      <c r="N47" s="3"/>
      <c r="O47" s="3"/>
      <c r="P47" s="3"/>
      <c r="Q47" s="3"/>
      <c r="R47" s="3"/>
    </row>
    <row r="48" spans="1:18" ht="26.1" customHeight="1">
      <c r="A48" s="18"/>
      <c r="B48" s="18"/>
      <c r="C48" s="18"/>
      <c r="D48" s="18"/>
      <c r="E48" s="3"/>
      <c r="F48" s="3"/>
      <c r="G48" s="3"/>
      <c r="H48" s="3"/>
      <c r="I48" s="3"/>
      <c r="J48" s="3"/>
      <c r="K48" s="5"/>
      <c r="L48" s="5"/>
      <c r="M48" s="5"/>
      <c r="N48" s="3"/>
      <c r="O48" s="3"/>
      <c r="P48" s="3"/>
      <c r="Q48" s="3"/>
      <c r="R48" s="3"/>
    </row>
    <row r="49" spans="1:18" ht="26.1" customHeight="1">
      <c r="A49" s="18"/>
      <c r="B49" s="18"/>
      <c r="C49" s="18"/>
      <c r="D49" s="18"/>
      <c r="E49" s="3"/>
      <c r="F49" s="3"/>
      <c r="G49" s="3"/>
      <c r="H49" s="3"/>
      <c r="I49" s="3"/>
      <c r="J49" s="3"/>
      <c r="K49" s="5"/>
      <c r="L49" s="5"/>
      <c r="M49" s="5"/>
      <c r="N49" s="3"/>
      <c r="O49" s="3"/>
      <c r="P49" s="3"/>
      <c r="Q49" s="3"/>
      <c r="R49" s="3"/>
    </row>
    <row r="50" spans="1:18" ht="26.1" customHeight="1">
      <c r="A50" s="18"/>
      <c r="B50" s="18"/>
      <c r="C50" s="18"/>
      <c r="D50" s="18"/>
      <c r="E50" s="3"/>
      <c r="F50" s="3"/>
      <c r="G50" s="3"/>
      <c r="H50" s="3"/>
      <c r="I50" s="3"/>
      <c r="J50" s="3"/>
      <c r="K50" s="5"/>
      <c r="L50" s="5"/>
      <c r="M50" s="5"/>
      <c r="N50" s="3"/>
      <c r="O50" s="3"/>
      <c r="P50" s="3"/>
      <c r="Q50" s="3"/>
      <c r="R50" s="3"/>
    </row>
    <row r="51" spans="1:18" ht="26.1" customHeight="1">
      <c r="A51" s="18"/>
      <c r="B51" s="18"/>
      <c r="C51" s="18"/>
      <c r="D51" s="18"/>
      <c r="E51" s="3"/>
      <c r="F51" s="3"/>
      <c r="G51" s="3"/>
      <c r="H51" s="3"/>
      <c r="I51" s="3"/>
      <c r="J51" s="3"/>
      <c r="K51" s="5"/>
      <c r="L51" s="5"/>
      <c r="M51" s="5"/>
      <c r="N51" s="3"/>
      <c r="O51" s="3"/>
      <c r="P51" s="3"/>
      <c r="Q51" s="3"/>
      <c r="R51" s="3"/>
    </row>
    <row r="52" spans="1:18" ht="26.1" customHeight="1">
      <c r="A52" s="18"/>
      <c r="B52" s="18"/>
      <c r="C52" s="18"/>
      <c r="D52" s="18"/>
      <c r="E52" s="3"/>
      <c r="F52" s="3"/>
      <c r="G52" s="3"/>
      <c r="H52" s="3"/>
      <c r="I52" s="3"/>
      <c r="J52" s="3"/>
      <c r="K52" s="5"/>
      <c r="L52" s="5"/>
      <c r="M52" s="5"/>
      <c r="N52" s="3"/>
      <c r="O52" s="3"/>
      <c r="P52" s="3"/>
      <c r="Q52" s="3"/>
      <c r="R52" s="3"/>
    </row>
    <row r="53" spans="1:18" ht="26.1" customHeight="1">
      <c r="A53" s="18"/>
      <c r="B53" s="18"/>
      <c r="C53" s="18"/>
      <c r="D53" s="18"/>
      <c r="E53" s="3"/>
      <c r="F53" s="3"/>
      <c r="G53" s="3"/>
      <c r="H53" s="3"/>
      <c r="I53" s="3"/>
      <c r="J53" s="3"/>
      <c r="K53" s="5"/>
      <c r="L53" s="5"/>
      <c r="M53" s="5"/>
      <c r="N53" s="3"/>
      <c r="O53" s="3"/>
      <c r="P53" s="3"/>
      <c r="Q53" s="3"/>
      <c r="R53" s="3"/>
    </row>
    <row r="54" spans="1:18" ht="26.1" customHeight="1">
      <c r="A54" s="18"/>
      <c r="B54" s="18"/>
      <c r="C54" s="18"/>
      <c r="D54" s="18"/>
      <c r="E54" s="3"/>
      <c r="F54" s="3"/>
      <c r="G54" s="3"/>
      <c r="H54" s="3"/>
      <c r="I54" s="3"/>
      <c r="J54" s="3"/>
      <c r="K54" s="5"/>
      <c r="L54" s="5"/>
      <c r="M54" s="5"/>
      <c r="N54" s="3"/>
      <c r="O54" s="3"/>
      <c r="P54" s="3"/>
      <c r="Q54" s="3"/>
      <c r="R54" s="3"/>
    </row>
    <row r="55" spans="1:18" ht="26.1" customHeight="1">
      <c r="A55" s="18"/>
      <c r="B55" s="18"/>
      <c r="C55" s="18"/>
      <c r="D55" s="18"/>
      <c r="E55" s="3"/>
      <c r="F55" s="3"/>
      <c r="G55" s="3"/>
      <c r="H55" s="3"/>
      <c r="I55" s="3"/>
      <c r="J55" s="3"/>
      <c r="K55" s="5"/>
      <c r="L55" s="5"/>
      <c r="M55" s="5"/>
      <c r="N55" s="3"/>
      <c r="O55" s="3"/>
      <c r="P55" s="3"/>
      <c r="Q55" s="3"/>
      <c r="R55" s="3"/>
    </row>
    <row r="56" spans="1:18" ht="26.1" customHeight="1">
      <c r="A56" s="18"/>
      <c r="B56" s="18"/>
      <c r="C56" s="18"/>
      <c r="D56" s="18"/>
      <c r="E56" s="3"/>
      <c r="F56" s="3"/>
      <c r="G56" s="3"/>
      <c r="H56" s="3"/>
      <c r="I56" s="3"/>
      <c r="J56" s="3"/>
      <c r="K56" s="5"/>
      <c r="L56" s="5"/>
      <c r="M56" s="5"/>
      <c r="N56" s="3"/>
      <c r="O56" s="3"/>
      <c r="P56" s="3"/>
      <c r="Q56" s="3"/>
      <c r="R56" s="3"/>
    </row>
    <row r="57" spans="1:18" ht="26.1" customHeight="1">
      <c r="A57" s="18"/>
      <c r="B57" s="18"/>
      <c r="C57" s="18"/>
      <c r="D57" s="18"/>
      <c r="E57" s="3"/>
      <c r="F57" s="3"/>
      <c r="G57" s="3"/>
      <c r="H57" s="3"/>
      <c r="I57" s="3"/>
      <c r="J57" s="3"/>
      <c r="K57" s="5"/>
      <c r="L57" s="5"/>
      <c r="M57" s="5"/>
      <c r="N57" s="3"/>
      <c r="O57" s="3"/>
      <c r="P57" s="3"/>
      <c r="Q57" s="3"/>
      <c r="R57" s="3"/>
    </row>
    <row r="58" spans="1:18" ht="26.1" customHeight="1">
      <c r="A58" s="18"/>
      <c r="B58" s="18"/>
      <c r="C58" s="18"/>
      <c r="D58" s="18"/>
      <c r="E58" s="3"/>
      <c r="F58" s="3"/>
      <c r="G58" s="3"/>
      <c r="H58" s="3"/>
      <c r="I58" s="3"/>
      <c r="J58" s="3"/>
      <c r="K58" s="5"/>
      <c r="L58" s="5"/>
      <c r="M58" s="5"/>
      <c r="N58" s="3"/>
      <c r="O58" s="3"/>
      <c r="P58" s="3"/>
      <c r="Q58" s="3"/>
      <c r="R58" s="3"/>
    </row>
    <row r="59" spans="1:18" ht="26.1" customHeight="1">
      <c r="A59" s="18"/>
      <c r="B59" s="18"/>
      <c r="C59" s="18"/>
      <c r="D59" s="18"/>
      <c r="E59" s="3"/>
      <c r="F59" s="3"/>
      <c r="G59" s="3"/>
      <c r="H59" s="3"/>
      <c r="I59" s="3"/>
      <c r="J59" s="3"/>
      <c r="K59" s="5"/>
      <c r="L59" s="5"/>
      <c r="M59" s="5"/>
      <c r="N59" s="3"/>
      <c r="O59" s="3"/>
      <c r="P59" s="3"/>
      <c r="Q59" s="3"/>
      <c r="R59" s="3"/>
    </row>
    <row r="60" spans="1:18" ht="26.1" customHeight="1">
      <c r="A60" s="18"/>
      <c r="B60" s="18"/>
      <c r="C60" s="18"/>
      <c r="D60" s="18"/>
      <c r="E60" s="3"/>
      <c r="F60" s="3"/>
      <c r="G60" s="3"/>
      <c r="H60" s="3"/>
      <c r="I60" s="3"/>
      <c r="J60" s="3"/>
      <c r="K60" s="5"/>
      <c r="L60" s="5"/>
      <c r="M60" s="5"/>
      <c r="N60" s="3"/>
      <c r="O60" s="3"/>
      <c r="P60" s="3"/>
      <c r="Q60" s="3"/>
      <c r="R60" s="3"/>
    </row>
    <row r="61" spans="1:18" ht="26.1" customHeight="1">
      <c r="A61" s="18"/>
      <c r="B61" s="18"/>
      <c r="C61" s="18"/>
      <c r="D61" s="18"/>
      <c r="E61" s="3"/>
      <c r="F61" s="3"/>
      <c r="G61" s="3"/>
      <c r="H61" s="3"/>
      <c r="I61" s="3"/>
      <c r="J61" s="3"/>
      <c r="K61" s="5"/>
      <c r="L61" s="5"/>
      <c r="M61" s="5"/>
      <c r="N61" s="3"/>
      <c r="O61" s="3"/>
      <c r="P61" s="3"/>
      <c r="Q61" s="3"/>
      <c r="R61" s="3"/>
    </row>
    <row r="62" spans="1:18" ht="26.1" customHeight="1">
      <c r="A62" s="18"/>
      <c r="B62" s="18"/>
      <c r="C62" s="18"/>
      <c r="D62" s="18"/>
      <c r="E62" s="3"/>
      <c r="F62" s="3"/>
      <c r="G62" s="3"/>
      <c r="H62" s="3"/>
      <c r="I62" s="3"/>
      <c r="J62" s="3"/>
      <c r="K62" s="5"/>
      <c r="L62" s="5"/>
      <c r="M62" s="5"/>
      <c r="N62" s="3"/>
      <c r="O62" s="3"/>
      <c r="P62" s="3"/>
      <c r="Q62" s="3"/>
      <c r="R62" s="3"/>
    </row>
    <row r="63" spans="1:18" ht="26.1" customHeight="1">
      <c r="A63" s="18"/>
      <c r="B63" s="18"/>
      <c r="C63" s="18"/>
      <c r="D63" s="18"/>
      <c r="E63" s="3"/>
      <c r="F63" s="3"/>
      <c r="G63" s="3"/>
      <c r="H63" s="3"/>
      <c r="I63" s="3"/>
      <c r="J63" s="3"/>
      <c r="K63" s="5"/>
      <c r="L63" s="5"/>
      <c r="M63" s="5"/>
      <c r="N63" s="3"/>
      <c r="O63" s="3"/>
      <c r="P63" s="3"/>
      <c r="Q63" s="3"/>
      <c r="R63" s="3"/>
    </row>
    <row r="64" spans="1:18" ht="26.1" customHeight="1">
      <c r="A64" s="18"/>
      <c r="B64" s="18"/>
      <c r="C64" s="18"/>
      <c r="D64" s="18"/>
      <c r="E64" s="3"/>
      <c r="F64" s="3"/>
      <c r="G64" s="3"/>
      <c r="H64" s="3"/>
      <c r="I64" s="3"/>
      <c r="J64" s="3"/>
      <c r="K64" s="5"/>
      <c r="L64" s="5"/>
      <c r="M64" s="5"/>
      <c r="N64" s="3"/>
      <c r="O64" s="3"/>
      <c r="P64" s="3"/>
      <c r="Q64" s="3"/>
      <c r="R64" s="3"/>
    </row>
    <row r="65" spans="1:18" ht="26.1" customHeight="1">
      <c r="A65" s="18"/>
      <c r="B65" s="18"/>
      <c r="C65" s="18"/>
      <c r="D65" s="18"/>
      <c r="E65" s="3"/>
      <c r="F65" s="3"/>
      <c r="G65" s="3"/>
      <c r="H65" s="3"/>
      <c r="I65" s="3"/>
      <c r="J65" s="3"/>
      <c r="K65" s="5"/>
      <c r="L65" s="5"/>
      <c r="M65" s="5"/>
      <c r="N65" s="3"/>
      <c r="O65" s="3"/>
      <c r="P65" s="3"/>
      <c r="Q65" s="3"/>
      <c r="R65" s="3"/>
    </row>
    <row r="66" spans="1:18" ht="26.1" customHeight="1">
      <c r="A66" s="18"/>
      <c r="B66" s="18"/>
      <c r="C66" s="18"/>
      <c r="D66" s="18"/>
      <c r="E66" s="3"/>
      <c r="F66" s="3"/>
      <c r="G66" s="3"/>
      <c r="H66" s="3"/>
      <c r="I66" s="3"/>
      <c r="J66" s="3"/>
      <c r="K66" s="5"/>
      <c r="L66" s="5"/>
      <c r="M66" s="5"/>
      <c r="N66" s="3"/>
      <c r="O66" s="3"/>
      <c r="P66" s="3"/>
      <c r="Q66" s="3"/>
      <c r="R66" s="3"/>
    </row>
    <row r="67" spans="1:18" ht="26.1" customHeight="1">
      <c r="A67" s="18"/>
      <c r="B67" s="18"/>
      <c r="C67" s="18"/>
      <c r="D67" s="18"/>
      <c r="E67" s="3"/>
      <c r="F67" s="3"/>
      <c r="G67" s="3"/>
      <c r="H67" s="3"/>
      <c r="I67" s="3"/>
      <c r="J67" s="3"/>
      <c r="K67" s="5"/>
      <c r="L67" s="5"/>
      <c r="M67" s="5"/>
      <c r="N67" s="3"/>
      <c r="O67" s="3"/>
      <c r="P67" s="3"/>
      <c r="Q67" s="3"/>
      <c r="R67" s="3"/>
    </row>
    <row r="68" spans="1:18" ht="26.1" customHeight="1">
      <c r="A68" s="18"/>
      <c r="B68" s="18"/>
      <c r="C68" s="18"/>
      <c r="D68" s="18"/>
      <c r="E68" s="3"/>
      <c r="F68" s="3"/>
      <c r="G68" s="3"/>
      <c r="H68" s="3"/>
      <c r="I68" s="3"/>
      <c r="J68" s="3"/>
      <c r="K68" s="5"/>
      <c r="L68" s="5"/>
      <c r="M68" s="5"/>
      <c r="N68" s="3"/>
      <c r="O68" s="3"/>
      <c r="P68" s="3"/>
      <c r="Q68" s="3"/>
      <c r="R68" s="3"/>
    </row>
    <row r="69" spans="1:18" ht="26.1" customHeight="1">
      <c r="A69" s="18"/>
      <c r="B69" s="18"/>
      <c r="C69" s="18"/>
      <c r="D69" s="18"/>
      <c r="E69" s="3"/>
      <c r="F69" s="3"/>
      <c r="G69" s="3"/>
      <c r="H69" s="3"/>
      <c r="I69" s="3"/>
      <c r="J69" s="3"/>
      <c r="K69" s="5"/>
      <c r="L69" s="5"/>
      <c r="M69" s="5"/>
      <c r="N69" s="3"/>
      <c r="O69" s="3"/>
      <c r="P69" s="3"/>
      <c r="Q69" s="3"/>
      <c r="R69" s="3"/>
    </row>
    <row r="70" spans="1:18" ht="26.1" customHeight="1">
      <c r="A70" s="18"/>
      <c r="B70" s="18"/>
      <c r="C70" s="18"/>
      <c r="D70" s="18"/>
      <c r="E70" s="3"/>
      <c r="F70" s="3"/>
      <c r="G70" s="3"/>
      <c r="H70" s="3"/>
      <c r="I70" s="3"/>
      <c r="J70" s="3"/>
      <c r="K70" s="5"/>
      <c r="L70" s="5"/>
      <c r="M70" s="5"/>
      <c r="N70" s="3"/>
      <c r="O70" s="3"/>
      <c r="P70" s="3"/>
      <c r="Q70" s="3"/>
      <c r="R70" s="3"/>
    </row>
    <row r="71" spans="1:18" ht="26.1" customHeight="1">
      <c r="A71" s="18"/>
      <c r="B71" s="18"/>
      <c r="C71" s="18"/>
      <c r="D71" s="18"/>
      <c r="E71" s="3"/>
      <c r="F71" s="3"/>
      <c r="G71" s="3"/>
      <c r="H71" s="3"/>
      <c r="I71" s="3"/>
      <c r="J71" s="3"/>
      <c r="K71" s="5"/>
      <c r="L71" s="5"/>
      <c r="M71" s="5"/>
      <c r="N71" s="3"/>
      <c r="O71" s="3"/>
      <c r="P71" s="3"/>
      <c r="Q71" s="3"/>
      <c r="R71" s="3"/>
    </row>
    <row r="72" spans="1:18" ht="26.1" customHeight="1">
      <c r="A72" s="18"/>
      <c r="B72" s="18"/>
      <c r="C72" s="18"/>
      <c r="D72" s="18"/>
      <c r="E72" s="3"/>
      <c r="F72" s="3"/>
      <c r="G72" s="3"/>
      <c r="H72" s="3"/>
      <c r="I72" s="3"/>
      <c r="J72" s="3"/>
      <c r="K72" s="5"/>
      <c r="L72" s="5"/>
      <c r="M72" s="5"/>
      <c r="N72" s="3"/>
      <c r="O72" s="3"/>
      <c r="P72" s="3"/>
      <c r="Q72" s="3"/>
      <c r="R72" s="3"/>
    </row>
    <row r="73" spans="1:18" ht="26.1" customHeight="1">
      <c r="A73" s="18"/>
      <c r="B73" s="18"/>
      <c r="C73" s="18"/>
      <c r="D73" s="18"/>
      <c r="E73" s="3"/>
      <c r="F73" s="3"/>
      <c r="G73" s="3"/>
      <c r="H73" s="3"/>
      <c r="I73" s="3"/>
      <c r="J73" s="3"/>
      <c r="K73" s="5"/>
      <c r="L73" s="5"/>
      <c r="M73" s="5"/>
      <c r="N73" s="3"/>
      <c r="O73" s="3"/>
      <c r="P73" s="3"/>
      <c r="Q73" s="3"/>
      <c r="R73" s="3"/>
    </row>
    <row r="74" spans="1:18" ht="26.1" customHeight="1">
      <c r="A74" s="18"/>
      <c r="B74" s="18"/>
      <c r="C74" s="18"/>
      <c r="D74" s="18"/>
      <c r="E74" s="3"/>
      <c r="F74" s="3"/>
      <c r="G74" s="3"/>
      <c r="H74" s="3"/>
      <c r="I74" s="3"/>
      <c r="J74" s="3"/>
      <c r="K74" s="5"/>
      <c r="L74" s="5"/>
      <c r="M74" s="5"/>
      <c r="N74" s="3"/>
      <c r="O74" s="3"/>
      <c r="P74" s="3"/>
      <c r="Q74" s="3"/>
      <c r="R74" s="3"/>
    </row>
    <row r="75" spans="1:18" ht="26.1" customHeight="1">
      <c r="A75" s="18"/>
      <c r="B75" s="18"/>
      <c r="C75" s="18"/>
      <c r="D75" s="18"/>
      <c r="E75" s="3"/>
      <c r="F75" s="3"/>
      <c r="G75" s="3"/>
      <c r="H75" s="3"/>
      <c r="I75" s="3"/>
      <c r="J75" s="3"/>
      <c r="K75" s="5"/>
      <c r="L75" s="5"/>
      <c r="M75" s="5"/>
      <c r="N75" s="3"/>
      <c r="O75" s="3"/>
      <c r="P75" s="3"/>
      <c r="Q75" s="3"/>
      <c r="R75" s="3"/>
    </row>
    <row r="76" spans="1:18" ht="26.1" customHeight="1">
      <c r="A76" s="18"/>
      <c r="B76" s="18"/>
      <c r="C76" s="18"/>
      <c r="D76" s="18"/>
      <c r="E76" s="3"/>
      <c r="F76" s="3"/>
      <c r="G76" s="3"/>
      <c r="H76" s="3"/>
      <c r="I76" s="3"/>
      <c r="J76" s="3"/>
      <c r="K76" s="5"/>
      <c r="L76" s="5"/>
      <c r="M76" s="5"/>
      <c r="N76" s="3"/>
      <c r="O76" s="3"/>
      <c r="P76" s="3"/>
      <c r="Q76" s="3"/>
      <c r="R76" s="3"/>
    </row>
    <row r="77" spans="1:18" ht="26.1" customHeight="1">
      <c r="A77" s="18"/>
      <c r="B77" s="18"/>
      <c r="C77" s="18"/>
      <c r="D77" s="18"/>
      <c r="E77" s="3"/>
      <c r="F77" s="3"/>
      <c r="G77" s="3"/>
      <c r="H77" s="3"/>
      <c r="I77" s="3"/>
      <c r="J77" s="3"/>
      <c r="K77" s="5"/>
      <c r="L77" s="5"/>
      <c r="M77" s="5"/>
      <c r="N77" s="3"/>
      <c r="O77" s="3"/>
      <c r="P77" s="3"/>
      <c r="Q77" s="3"/>
      <c r="R77" s="3"/>
    </row>
    <row r="78" spans="1:18" ht="26.1" customHeight="1">
      <c r="A78" s="18"/>
      <c r="B78" s="18"/>
      <c r="C78" s="18"/>
      <c r="D78" s="18"/>
      <c r="E78" s="3"/>
      <c r="F78" s="3"/>
      <c r="G78" s="3"/>
      <c r="H78" s="3"/>
      <c r="I78" s="3"/>
      <c r="J78" s="3"/>
      <c r="K78" s="5"/>
      <c r="L78" s="5"/>
      <c r="M78" s="5"/>
      <c r="N78" s="3"/>
      <c r="O78" s="3"/>
      <c r="P78" s="3"/>
      <c r="Q78" s="3"/>
      <c r="R78" s="3"/>
    </row>
    <row r="79" spans="1:18" ht="26.1" customHeight="1">
      <c r="A79" s="18"/>
      <c r="B79" s="18"/>
      <c r="C79" s="18"/>
      <c r="D79" s="18"/>
      <c r="E79" s="3"/>
      <c r="F79" s="3"/>
      <c r="G79" s="3"/>
      <c r="H79" s="3"/>
      <c r="I79" s="3"/>
      <c r="J79" s="3"/>
      <c r="K79" s="5"/>
      <c r="L79" s="5"/>
      <c r="M79" s="5"/>
      <c r="N79" s="3"/>
      <c r="O79" s="3"/>
      <c r="P79" s="3"/>
      <c r="Q79" s="3"/>
      <c r="R79" s="3"/>
    </row>
    <row r="80" spans="1:18" ht="26.1" customHeight="1">
      <c r="A80" s="18"/>
      <c r="B80" s="18"/>
      <c r="C80" s="18"/>
      <c r="D80" s="18"/>
      <c r="E80" s="3"/>
      <c r="F80" s="3"/>
      <c r="G80" s="3"/>
      <c r="H80" s="3"/>
      <c r="I80" s="3"/>
      <c r="J80" s="3"/>
      <c r="K80" s="5"/>
      <c r="L80" s="5"/>
      <c r="M80" s="5"/>
      <c r="N80" s="3"/>
      <c r="O80" s="3"/>
      <c r="P80" s="3"/>
      <c r="Q80" s="3"/>
      <c r="R80" s="3"/>
    </row>
    <row r="81" spans="1:18" ht="26.1" customHeight="1">
      <c r="A81" s="18"/>
      <c r="B81" s="18"/>
      <c r="C81" s="18"/>
      <c r="D81" s="18"/>
      <c r="E81" s="3"/>
      <c r="F81" s="3"/>
      <c r="G81" s="3"/>
      <c r="H81" s="3"/>
      <c r="I81" s="3"/>
      <c r="J81" s="3"/>
      <c r="K81" s="5"/>
      <c r="L81" s="5"/>
      <c r="M81" s="5"/>
      <c r="N81" s="3"/>
      <c r="O81" s="3"/>
      <c r="P81" s="3"/>
      <c r="Q81" s="3"/>
      <c r="R81" s="3"/>
    </row>
    <row r="82" spans="1:18" ht="26.1" customHeight="1">
      <c r="A82" s="18"/>
      <c r="B82" s="18"/>
      <c r="C82" s="18"/>
      <c r="D82" s="18"/>
      <c r="E82" s="3"/>
      <c r="F82" s="3"/>
      <c r="G82" s="3"/>
      <c r="H82" s="3"/>
      <c r="I82" s="3"/>
      <c r="J82" s="3"/>
      <c r="K82" s="5"/>
      <c r="L82" s="5"/>
      <c r="M82" s="5"/>
      <c r="N82" s="3"/>
      <c r="O82" s="3"/>
      <c r="P82" s="3"/>
      <c r="Q82" s="3"/>
      <c r="R82" s="3"/>
    </row>
    <row r="83" spans="1:18" ht="26.1" customHeight="1">
      <c r="A83" s="18"/>
      <c r="B83" s="18"/>
      <c r="C83" s="18"/>
      <c r="D83" s="18"/>
      <c r="E83" s="3"/>
      <c r="F83" s="3"/>
      <c r="G83" s="3"/>
      <c r="H83" s="3"/>
      <c r="I83" s="3"/>
      <c r="J83" s="3"/>
      <c r="K83" s="5"/>
      <c r="L83" s="5"/>
      <c r="M83" s="5"/>
      <c r="N83" s="3"/>
      <c r="O83" s="3"/>
      <c r="P83" s="3"/>
      <c r="Q83" s="3"/>
      <c r="R83" s="3"/>
    </row>
    <row r="84" spans="1:18" ht="26.1" customHeight="1">
      <c r="A84" s="18"/>
      <c r="B84" s="18"/>
      <c r="C84" s="18"/>
      <c r="D84" s="18"/>
      <c r="E84" s="3"/>
      <c r="F84" s="3"/>
      <c r="G84" s="3"/>
      <c r="H84" s="3"/>
      <c r="I84" s="3"/>
      <c r="J84" s="3"/>
      <c r="K84" s="5"/>
      <c r="L84" s="5"/>
      <c r="M84" s="5"/>
      <c r="N84" s="3"/>
      <c r="O84" s="3"/>
      <c r="P84" s="3"/>
      <c r="Q84" s="3"/>
      <c r="R84" s="3"/>
    </row>
    <row r="85" spans="1:18" ht="26.1" customHeight="1">
      <c r="A85" s="18"/>
      <c r="B85" s="18"/>
      <c r="C85" s="18"/>
      <c r="D85" s="18"/>
      <c r="E85" s="3"/>
      <c r="F85" s="3"/>
      <c r="G85" s="3"/>
      <c r="H85" s="3"/>
      <c r="I85" s="3"/>
      <c r="J85" s="3"/>
      <c r="K85" s="5"/>
      <c r="L85" s="5"/>
      <c r="M85" s="5"/>
      <c r="N85" s="3"/>
      <c r="O85" s="3"/>
      <c r="P85" s="3"/>
      <c r="Q85" s="3"/>
      <c r="R85" s="3"/>
    </row>
    <row r="86" spans="1:18" ht="26.1" customHeight="1">
      <c r="A86" s="18"/>
      <c r="B86" s="18"/>
      <c r="C86" s="18"/>
      <c r="D86" s="18"/>
      <c r="E86" s="3"/>
      <c r="F86" s="3"/>
      <c r="G86" s="3"/>
      <c r="H86" s="3"/>
      <c r="I86" s="3"/>
      <c r="J86" s="3"/>
      <c r="K86" s="5"/>
      <c r="L86" s="5"/>
      <c r="M86" s="5"/>
      <c r="N86" s="3"/>
      <c r="O86" s="3"/>
      <c r="P86" s="3"/>
      <c r="Q86" s="3"/>
      <c r="R86" s="3"/>
    </row>
    <row r="87" spans="1:18" ht="26.1" customHeight="1">
      <c r="A87" s="18"/>
      <c r="B87" s="18"/>
      <c r="C87" s="18"/>
      <c r="D87" s="18"/>
      <c r="E87" s="3"/>
      <c r="F87" s="3"/>
      <c r="G87" s="3"/>
      <c r="H87" s="3"/>
      <c r="I87" s="3"/>
      <c r="J87" s="3"/>
      <c r="K87" s="5"/>
      <c r="L87" s="5"/>
      <c r="M87" s="5"/>
      <c r="N87" s="3"/>
      <c r="O87" s="3"/>
      <c r="P87" s="3"/>
      <c r="Q87" s="3"/>
      <c r="R87" s="3"/>
    </row>
    <row r="88" spans="1:18" ht="26.1" customHeight="1">
      <c r="A88" s="18"/>
      <c r="B88" s="18"/>
      <c r="C88" s="18"/>
      <c r="D88" s="18"/>
      <c r="E88" s="3"/>
      <c r="F88" s="3"/>
      <c r="G88" s="3"/>
      <c r="H88" s="3"/>
      <c r="I88" s="3"/>
      <c r="J88" s="3"/>
      <c r="K88" s="5"/>
      <c r="L88" s="5"/>
      <c r="M88" s="5"/>
      <c r="N88" s="3"/>
      <c r="O88" s="3"/>
      <c r="P88" s="3"/>
      <c r="Q88" s="3"/>
      <c r="R88" s="3"/>
    </row>
    <row r="89" spans="1:18" ht="26.1" customHeight="1">
      <c r="A89" s="18"/>
      <c r="B89" s="18"/>
      <c r="C89" s="18"/>
      <c r="D89" s="18"/>
      <c r="E89" s="3"/>
      <c r="F89" s="3"/>
      <c r="G89" s="3"/>
      <c r="H89" s="3"/>
      <c r="I89" s="3"/>
      <c r="J89" s="3"/>
      <c r="K89" s="5"/>
      <c r="L89" s="5"/>
      <c r="M89" s="5"/>
      <c r="N89" s="3"/>
      <c r="O89" s="3"/>
      <c r="P89" s="3"/>
      <c r="Q89" s="3"/>
      <c r="R89" s="3"/>
    </row>
    <row r="90" spans="1:18" ht="26.1" customHeight="1">
      <c r="A90" s="18"/>
      <c r="B90" s="18"/>
      <c r="C90" s="18"/>
      <c r="D90" s="18"/>
      <c r="E90" s="3"/>
      <c r="F90" s="3"/>
      <c r="G90" s="3"/>
      <c r="H90" s="3"/>
      <c r="I90" s="3"/>
      <c r="J90" s="3"/>
      <c r="K90" s="5"/>
      <c r="L90" s="5"/>
      <c r="M90" s="5"/>
      <c r="N90" s="3"/>
      <c r="O90" s="3"/>
      <c r="P90" s="3"/>
      <c r="Q90" s="3"/>
      <c r="R90" s="3"/>
    </row>
    <row r="91" spans="1:18" ht="26.1" customHeight="1">
      <c r="A91" s="18"/>
      <c r="B91" s="18"/>
      <c r="C91" s="18"/>
      <c r="D91" s="18"/>
      <c r="E91" s="3"/>
      <c r="F91" s="3"/>
      <c r="G91" s="3"/>
      <c r="H91" s="3"/>
      <c r="I91" s="3"/>
      <c r="J91" s="3"/>
      <c r="K91" s="5"/>
      <c r="L91" s="5"/>
      <c r="M91" s="5"/>
      <c r="N91" s="3"/>
      <c r="O91" s="3"/>
      <c r="P91" s="3"/>
      <c r="Q91" s="3"/>
      <c r="R91" s="3"/>
    </row>
    <row r="92" spans="1:18" ht="26.1" customHeight="1">
      <c r="A92" s="18"/>
      <c r="B92" s="18"/>
      <c r="C92" s="18"/>
      <c r="D92" s="18"/>
      <c r="E92" s="3"/>
      <c r="F92" s="3"/>
      <c r="G92" s="3"/>
      <c r="H92" s="3"/>
      <c r="I92" s="3"/>
      <c r="J92" s="3"/>
      <c r="K92" s="5"/>
      <c r="L92" s="5"/>
      <c r="M92" s="5"/>
      <c r="N92" s="3"/>
      <c r="O92" s="3"/>
      <c r="P92" s="3"/>
      <c r="Q92" s="3"/>
      <c r="R92" s="3"/>
    </row>
    <row r="93" spans="1:18" ht="26.1" customHeight="1">
      <c r="A93" s="18"/>
      <c r="B93" s="18"/>
      <c r="C93" s="18"/>
      <c r="D93" s="18"/>
      <c r="E93" s="3"/>
      <c r="F93" s="3"/>
      <c r="G93" s="3"/>
      <c r="H93" s="3"/>
      <c r="I93" s="3"/>
      <c r="J93" s="3"/>
      <c r="K93" s="5"/>
      <c r="L93" s="5"/>
      <c r="M93" s="5"/>
      <c r="N93" s="3"/>
      <c r="O93" s="3"/>
      <c r="P93" s="3"/>
      <c r="Q93" s="3"/>
      <c r="R93" s="3"/>
    </row>
    <row r="94" spans="1:18" ht="26.1" customHeight="1">
      <c r="A94" s="18"/>
      <c r="B94" s="18"/>
      <c r="C94" s="18"/>
      <c r="D94" s="18"/>
      <c r="E94" s="3"/>
      <c r="F94" s="3"/>
      <c r="G94" s="3"/>
      <c r="H94" s="3"/>
      <c r="I94" s="3"/>
      <c r="J94" s="3"/>
      <c r="K94" s="5"/>
      <c r="L94" s="5"/>
      <c r="M94" s="5"/>
      <c r="N94" s="3"/>
      <c r="O94" s="3"/>
      <c r="P94" s="3"/>
      <c r="Q94" s="3"/>
      <c r="R94" s="3"/>
    </row>
    <row r="95" spans="1:18" ht="26.1" customHeight="1">
      <c r="A95" s="18"/>
      <c r="B95" s="18"/>
      <c r="C95" s="18"/>
      <c r="D95" s="18"/>
      <c r="E95" s="3"/>
      <c r="F95" s="3"/>
      <c r="G95" s="3"/>
      <c r="H95" s="3"/>
      <c r="I95" s="3"/>
      <c r="J95" s="3"/>
      <c r="K95" s="5"/>
      <c r="L95" s="5"/>
      <c r="M95" s="5"/>
      <c r="N95" s="3"/>
      <c r="O95" s="3"/>
      <c r="P95" s="3"/>
      <c r="Q95" s="3"/>
      <c r="R95" s="3"/>
    </row>
    <row r="96" spans="1:18" ht="26.1" customHeight="1">
      <c r="A96" s="18"/>
      <c r="B96" s="18"/>
      <c r="C96" s="18"/>
      <c r="D96" s="18"/>
      <c r="E96" s="3"/>
      <c r="F96" s="3"/>
      <c r="G96" s="3"/>
      <c r="H96" s="3"/>
      <c r="I96" s="3"/>
      <c r="J96" s="3"/>
      <c r="K96" s="5"/>
      <c r="L96" s="5"/>
      <c r="M96" s="5"/>
      <c r="N96" s="3"/>
      <c r="O96" s="3"/>
      <c r="P96" s="3"/>
      <c r="Q96" s="3"/>
      <c r="R96" s="3"/>
    </row>
    <row r="97" spans="1:18" ht="26.1" customHeight="1">
      <c r="A97" s="18"/>
      <c r="B97" s="18"/>
      <c r="C97" s="18"/>
      <c r="D97" s="18"/>
      <c r="E97" s="3"/>
      <c r="F97" s="3"/>
      <c r="G97" s="3"/>
      <c r="H97" s="3"/>
      <c r="I97" s="3"/>
      <c r="J97" s="3"/>
      <c r="K97" s="5"/>
      <c r="L97" s="5"/>
      <c r="M97" s="5"/>
      <c r="N97" s="3"/>
      <c r="O97" s="3"/>
      <c r="P97" s="3"/>
      <c r="Q97" s="3"/>
      <c r="R97" s="3"/>
    </row>
    <row r="98" spans="1:18" ht="26.1" customHeight="1">
      <c r="A98" s="18"/>
      <c r="B98" s="18"/>
      <c r="C98" s="18"/>
      <c r="D98" s="18"/>
      <c r="E98" s="3"/>
      <c r="F98" s="3"/>
      <c r="G98" s="3"/>
      <c r="H98" s="3"/>
      <c r="I98" s="3"/>
      <c r="J98" s="3"/>
      <c r="K98" s="5"/>
      <c r="L98" s="5"/>
      <c r="M98" s="5"/>
      <c r="N98" s="3"/>
      <c r="O98" s="3"/>
      <c r="P98" s="3"/>
      <c r="Q98" s="3"/>
      <c r="R98" s="3"/>
    </row>
    <row r="99" spans="1:18" ht="26.1" customHeight="1">
      <c r="A99" s="18"/>
      <c r="B99" s="18"/>
      <c r="C99" s="18"/>
      <c r="D99" s="18"/>
      <c r="E99" s="3"/>
      <c r="F99" s="3"/>
      <c r="G99" s="3"/>
      <c r="H99" s="3"/>
      <c r="I99" s="3"/>
      <c r="J99" s="3"/>
      <c r="K99" s="5"/>
      <c r="L99" s="5"/>
      <c r="M99" s="5"/>
      <c r="N99" s="3"/>
      <c r="O99" s="3"/>
      <c r="P99" s="3"/>
      <c r="Q99" s="3"/>
      <c r="R99" s="3"/>
    </row>
    <row r="100" spans="1:18" ht="26.1" customHeight="1">
      <c r="A100" s="18"/>
      <c r="B100" s="18"/>
      <c r="C100" s="18"/>
      <c r="D100" s="18"/>
      <c r="E100" s="3"/>
      <c r="F100" s="3"/>
      <c r="G100" s="3"/>
      <c r="H100" s="3"/>
      <c r="I100" s="3"/>
      <c r="J100" s="3"/>
      <c r="K100" s="5"/>
      <c r="L100" s="5"/>
      <c r="M100" s="5"/>
      <c r="N100" s="3"/>
      <c r="O100" s="3"/>
      <c r="P100" s="3"/>
      <c r="Q100" s="3"/>
      <c r="R100" s="3"/>
    </row>
    <row r="101" spans="1:18" ht="26.1" customHeight="1">
      <c r="A101" s="18"/>
      <c r="B101" s="18"/>
      <c r="C101" s="18"/>
      <c r="D101" s="18"/>
      <c r="E101" s="3"/>
      <c r="F101" s="3"/>
      <c r="G101" s="3"/>
      <c r="H101" s="3"/>
      <c r="I101" s="3"/>
      <c r="J101" s="3"/>
      <c r="K101" s="5"/>
      <c r="L101" s="5"/>
      <c r="M101" s="5"/>
      <c r="N101" s="3"/>
      <c r="O101" s="3"/>
      <c r="P101" s="3"/>
      <c r="Q101" s="3"/>
      <c r="R101" s="3"/>
    </row>
    <row r="102" spans="1:18" ht="26.1" customHeight="1">
      <c r="A102" s="18"/>
      <c r="B102" s="18"/>
      <c r="C102" s="18"/>
      <c r="D102" s="18"/>
      <c r="E102" s="3"/>
      <c r="F102" s="3"/>
      <c r="G102" s="3"/>
      <c r="H102" s="3"/>
      <c r="I102" s="3"/>
      <c r="J102" s="3"/>
      <c r="K102" s="5"/>
      <c r="L102" s="5"/>
      <c r="M102" s="5"/>
      <c r="N102" s="3"/>
      <c r="O102" s="3"/>
      <c r="P102" s="3"/>
      <c r="Q102" s="3"/>
      <c r="R102" s="3"/>
    </row>
    <row r="103" spans="1:18" ht="26.1" customHeight="1">
      <c r="A103" s="18"/>
      <c r="B103" s="18"/>
      <c r="C103" s="18"/>
      <c r="D103" s="18"/>
      <c r="E103" s="3"/>
      <c r="F103" s="3"/>
      <c r="G103" s="3"/>
      <c r="H103" s="3"/>
      <c r="I103" s="3"/>
      <c r="J103" s="3"/>
      <c r="K103" s="5"/>
      <c r="L103" s="5"/>
      <c r="M103" s="5"/>
      <c r="N103" s="3"/>
      <c r="O103" s="3"/>
      <c r="P103" s="3"/>
      <c r="Q103" s="3"/>
      <c r="R103" s="3"/>
    </row>
    <row r="104" spans="1:18" ht="26.1" customHeight="1">
      <c r="A104" s="18"/>
      <c r="B104" s="18"/>
      <c r="C104" s="18"/>
      <c r="D104" s="18"/>
      <c r="E104" s="3"/>
      <c r="F104" s="3"/>
      <c r="G104" s="3"/>
      <c r="H104" s="3"/>
      <c r="I104" s="3"/>
      <c r="J104" s="3"/>
      <c r="K104" s="5"/>
      <c r="L104" s="5"/>
      <c r="M104" s="5"/>
      <c r="N104" s="3"/>
      <c r="O104" s="3"/>
      <c r="P104" s="3"/>
      <c r="Q104" s="3"/>
      <c r="R104" s="3"/>
    </row>
    <row r="105" spans="1:18" ht="26.1" customHeight="1">
      <c r="A105" s="18"/>
      <c r="B105" s="18"/>
      <c r="C105" s="18"/>
      <c r="D105" s="18"/>
      <c r="E105" s="3"/>
      <c r="F105" s="3"/>
      <c r="G105" s="3"/>
      <c r="H105" s="3"/>
      <c r="I105" s="3"/>
      <c r="J105" s="3"/>
      <c r="K105" s="5"/>
      <c r="L105" s="5"/>
      <c r="M105" s="5"/>
      <c r="N105" s="3"/>
      <c r="O105" s="3"/>
      <c r="P105" s="3"/>
      <c r="Q105" s="3"/>
      <c r="R105" s="3"/>
    </row>
    <row r="106" spans="1:18" ht="26.1" customHeight="1">
      <c r="A106" s="18"/>
      <c r="B106" s="18"/>
      <c r="C106" s="18"/>
      <c r="D106" s="18"/>
      <c r="E106" s="3"/>
      <c r="F106" s="3"/>
      <c r="G106" s="3"/>
      <c r="H106" s="3"/>
      <c r="I106" s="3"/>
      <c r="J106" s="3"/>
      <c r="K106" s="5"/>
      <c r="L106" s="5"/>
      <c r="M106" s="5"/>
      <c r="N106" s="3"/>
      <c r="O106" s="3"/>
      <c r="P106" s="3"/>
      <c r="Q106" s="3"/>
      <c r="R106" s="3"/>
    </row>
    <row r="107" spans="1:18">
      <c r="A107" s="18"/>
      <c r="B107" s="18"/>
      <c r="C107" s="18"/>
      <c r="D107" s="18"/>
    </row>
    <row r="108" spans="1:18">
      <c r="A108" s="18"/>
      <c r="B108" s="18"/>
      <c r="C108" s="18"/>
      <c r="D108" s="18"/>
    </row>
    <row r="109" spans="1:18">
      <c r="A109" s="18"/>
      <c r="B109" s="18"/>
      <c r="C109" s="18"/>
      <c r="D109" s="18"/>
    </row>
    <row r="110" spans="1:18">
      <c r="A110" s="18"/>
      <c r="B110" s="18"/>
      <c r="C110" s="18"/>
      <c r="D110" s="18"/>
    </row>
  </sheetData>
  <mergeCells count="1">
    <mergeCell ref="E5:R5"/>
  </mergeCells>
  <phoneticPr fontId="36" type="noConversion"/>
  <conditionalFormatting sqref="E7:E106">
    <cfRule type="expression" dxfId="7" priority="1">
      <formula>AND(E7&lt;&gt;"",COUNTIFS($E$7:$E$106,E7)&gt;1)</formula>
    </cfRule>
  </conditionalFormatting>
  <conditionalFormatting sqref="Q7:Q106">
    <cfRule type="cellIs" dxfId="6" priority="2" operator="equal">
      <formula>"Pending validation"</formula>
    </cfRule>
    <cfRule type="cellIs" dxfId="5" priority="3" operator="equal">
      <formula>"Validated"</formula>
    </cfRule>
    <cfRule type="cellIs" dxfId="4" priority="4" operator="equal">
      <formula>"Rejected"</formula>
    </cfRule>
  </conditionalFormatting>
  <dataValidations count="4">
    <dataValidation type="list" allowBlank="1" showErrorMessage="1" errorTitle="Select an allowed option" error="Choose a dropdown value or leave an unknown input blank." sqref="N7:N106" xr:uid="{00000000-0002-0000-0300-000000000000}">
      <formula1>"Planned request,Requested,Received,Under review,Reviewed"</formula1>
    </dataValidation>
    <dataValidation type="list" allowBlank="1" showErrorMessage="1" errorTitle="Select an allowed option" error="Choose a dropdown value or leave an unknown input blank." sqref="Q7:Q106" xr:uid="{00000000-0002-0000-0300-000001000000}">
      <formula1>"Pending validation,Validated,Rejected"</formula1>
    </dataValidation>
    <dataValidation type="list" allowBlank="1" showErrorMessage="1" errorTitle="Select an allowed option" error="Choose a dropdown value or leave an unknown input blank." sqref="F7:F106" xr:uid="{00000000-0002-0000-0300-000002000000}">
      <formula1>RiskIDs</formula1>
    </dataValidation>
    <dataValidation type="list" allowBlank="1" showErrorMessage="1" errorTitle="Select an allowed option" error="Choose a dropdown value or leave an unknown input blank." sqref="G7:G106" xr:uid="{00000000-0002-0000-0300-000003000000}">
      <formula1>ControlIDs</formula1>
    </dataValidation>
  </dataValidation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2F47"/>
  </sheetPr>
  <dimension ref="A1:P110"/>
  <sheetViews>
    <sheetView showGridLines="0" workbookViewId="0">
      <pane xSplit="6" ySplit="6" topLeftCell="G7" activePane="bottomRight" state="frozen"/>
      <selection pane="topRight"/>
      <selection pane="bottomLeft"/>
      <selection pane="bottomRight" activeCell="O9" sqref="O9"/>
    </sheetView>
  </sheetViews>
  <sheetFormatPr defaultRowHeight="14.25"/>
  <cols>
    <col min="1" max="4" width="7.25" customWidth="1"/>
    <col min="5" max="5" width="8.75" bestFit="1" customWidth="1"/>
    <col min="6" max="6" width="7.125" bestFit="1" customWidth="1"/>
    <col min="7" max="7" width="50.875" bestFit="1" customWidth="1"/>
    <col min="8" max="8" width="27.75" bestFit="1" customWidth="1"/>
    <col min="9" max="10" width="15" bestFit="1" customWidth="1"/>
    <col min="11" max="11" width="11.125" bestFit="1" customWidth="1"/>
    <col min="12" max="12" width="15" bestFit="1" customWidth="1"/>
    <col min="13" max="13" width="20.25" bestFit="1" customWidth="1"/>
    <col min="14" max="14" width="17.25" bestFit="1" customWidth="1"/>
    <col min="15" max="15" width="13.25" bestFit="1" customWidth="1"/>
    <col min="16" max="16" width="51.5" bestFit="1"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44" t="s">
        <v>28</v>
      </c>
      <c r="F5" s="44"/>
      <c r="G5" s="44"/>
      <c r="H5" s="44"/>
      <c r="I5" s="44"/>
      <c r="J5" s="44"/>
      <c r="K5" s="44"/>
      <c r="L5" s="44"/>
      <c r="M5" s="44"/>
      <c r="N5" s="44"/>
      <c r="O5" s="44"/>
      <c r="P5" s="44"/>
    </row>
    <row r="6" spans="1:16" ht="45.95" customHeight="1">
      <c r="A6" s="18"/>
      <c r="B6" s="18"/>
      <c r="C6" s="18"/>
      <c r="D6" s="18"/>
      <c r="E6" s="2" t="s">
        <v>111</v>
      </c>
      <c r="F6" s="2" t="s">
        <v>29</v>
      </c>
      <c r="G6" s="2" t="s">
        <v>112</v>
      </c>
      <c r="H6" s="2" t="s">
        <v>39</v>
      </c>
      <c r="I6" s="2" t="s">
        <v>113</v>
      </c>
      <c r="J6" s="2" t="s">
        <v>42</v>
      </c>
      <c r="K6" s="2" t="s">
        <v>114</v>
      </c>
      <c r="L6" s="2" t="s">
        <v>115</v>
      </c>
      <c r="M6" s="2" t="s">
        <v>116</v>
      </c>
      <c r="N6" s="2" t="s">
        <v>117</v>
      </c>
      <c r="O6" s="2" t="s">
        <v>118</v>
      </c>
      <c r="P6" s="2" t="s">
        <v>119</v>
      </c>
    </row>
    <row r="7" spans="1:16" ht="71.25">
      <c r="A7" s="18"/>
      <c r="B7" s="18"/>
      <c r="C7" s="18"/>
      <c r="D7" s="18"/>
      <c r="E7" s="3" t="s">
        <v>120</v>
      </c>
      <c r="F7" s="3" t="s">
        <v>50</v>
      </c>
      <c r="G7" s="24" t="s">
        <v>121</v>
      </c>
      <c r="H7" s="24" t="s">
        <v>122</v>
      </c>
      <c r="I7" s="24" t="s">
        <v>127</v>
      </c>
      <c r="J7" s="3" t="s">
        <v>59</v>
      </c>
      <c r="K7" s="5"/>
      <c r="L7" s="5"/>
      <c r="M7" s="3"/>
      <c r="N7" s="3" t="s">
        <v>58</v>
      </c>
      <c r="O7" s="4" t="str">
        <f t="shared" ref="O7:O38" ca="1" si="0">IF(E7="","",IF(ISNUMBER(K7),IF(J7="Completed",0,MAX(0,TODAY()-K7)),""))</f>
        <v/>
      </c>
      <c r="P7" s="24" t="s">
        <v>123</v>
      </c>
    </row>
    <row r="8" spans="1:16" ht="57">
      <c r="A8" s="18"/>
      <c r="B8" s="18"/>
      <c r="C8" s="18"/>
      <c r="D8" s="18"/>
      <c r="E8" s="3" t="s">
        <v>124</v>
      </c>
      <c r="F8" s="3" t="s">
        <v>61</v>
      </c>
      <c r="G8" s="24" t="s">
        <v>125</v>
      </c>
      <c r="H8" s="24" t="s">
        <v>126</v>
      </c>
      <c r="I8" s="3" t="s">
        <v>127</v>
      </c>
      <c r="J8" s="3" t="s">
        <v>59</v>
      </c>
      <c r="K8" s="5"/>
      <c r="L8" s="5"/>
      <c r="M8" s="3"/>
      <c r="N8" s="3" t="s">
        <v>58</v>
      </c>
      <c r="O8" s="4" t="str">
        <f t="shared" ca="1" si="0"/>
        <v/>
      </c>
      <c r="P8" s="3" t="s">
        <v>128</v>
      </c>
    </row>
    <row r="9" spans="1:16" ht="156.75">
      <c r="A9" s="18"/>
      <c r="B9" s="18"/>
      <c r="C9" s="18"/>
      <c r="D9" s="18"/>
      <c r="E9" s="3" t="s">
        <v>219</v>
      </c>
      <c r="F9" s="3" t="s">
        <v>201</v>
      </c>
      <c r="G9" s="24" t="s">
        <v>221</v>
      </c>
      <c r="H9" s="24" t="s">
        <v>220</v>
      </c>
      <c r="I9" s="3" t="s">
        <v>127</v>
      </c>
      <c r="J9" s="3" t="s">
        <v>59</v>
      </c>
      <c r="K9" s="5"/>
      <c r="L9" s="5"/>
      <c r="M9" s="3"/>
      <c r="N9" s="24" t="s">
        <v>58</v>
      </c>
      <c r="O9" s="4" t="str">
        <f t="shared" ca="1" si="0"/>
        <v/>
      </c>
      <c r="P9" s="24" t="s">
        <v>222</v>
      </c>
    </row>
    <row r="10" spans="1:16" ht="26.1" customHeight="1">
      <c r="A10" s="18"/>
      <c r="B10" s="18"/>
      <c r="C10" s="18"/>
      <c r="D10" s="18"/>
      <c r="E10" s="3"/>
      <c r="F10" s="3"/>
      <c r="G10" s="3"/>
      <c r="H10" s="3"/>
      <c r="I10" s="3"/>
      <c r="J10" s="3"/>
      <c r="K10" s="5"/>
      <c r="L10" s="5"/>
      <c r="M10" s="3"/>
      <c r="N10" s="3"/>
      <c r="O10" s="4" t="str">
        <f t="shared" ca="1" si="0"/>
        <v/>
      </c>
      <c r="P10" s="3"/>
    </row>
    <row r="11" spans="1:16" ht="26.1" customHeight="1">
      <c r="A11" s="18"/>
      <c r="B11" s="18"/>
      <c r="C11" s="18"/>
      <c r="D11" s="18"/>
      <c r="E11" s="3"/>
      <c r="F11" s="3"/>
      <c r="G11" s="24"/>
      <c r="H11" s="3"/>
      <c r="I11" s="3"/>
      <c r="J11" s="3"/>
      <c r="K11" s="5"/>
      <c r="L11" s="5"/>
      <c r="M11" s="3"/>
      <c r="N11" s="3"/>
      <c r="O11" s="4" t="str">
        <f t="shared" ca="1" si="0"/>
        <v/>
      </c>
      <c r="P11" s="24"/>
    </row>
    <row r="12" spans="1:16" ht="26.1" customHeight="1">
      <c r="A12" s="18"/>
      <c r="B12" s="18"/>
      <c r="C12" s="18"/>
      <c r="D12" s="18"/>
      <c r="E12" s="3"/>
      <c r="F12" s="3"/>
      <c r="G12" s="3"/>
      <c r="H12" s="3"/>
      <c r="I12" s="3"/>
      <c r="J12" s="3"/>
      <c r="K12" s="5"/>
      <c r="L12" s="5"/>
      <c r="M12" s="3"/>
      <c r="N12" s="3"/>
      <c r="O12" s="4" t="str">
        <f t="shared" ca="1" si="0"/>
        <v/>
      </c>
      <c r="P12" s="24"/>
    </row>
    <row r="13" spans="1:16" ht="26.1" customHeight="1">
      <c r="A13" s="18"/>
      <c r="B13" s="18"/>
      <c r="C13" s="18"/>
      <c r="D13" s="18"/>
      <c r="E13" s="3"/>
      <c r="F13" s="3"/>
      <c r="G13" s="3"/>
      <c r="H13" s="3"/>
      <c r="I13" s="3"/>
      <c r="J13" s="3"/>
      <c r="K13" s="5"/>
      <c r="L13" s="5"/>
      <c r="M13" s="3"/>
      <c r="N13" s="3"/>
      <c r="O13" s="4" t="str">
        <f t="shared" ca="1" si="0"/>
        <v/>
      </c>
      <c r="P13" s="3"/>
    </row>
    <row r="14" spans="1:16" ht="26.1" customHeight="1">
      <c r="A14" s="18"/>
      <c r="B14" s="18"/>
      <c r="C14" s="18"/>
      <c r="D14" s="18"/>
      <c r="E14" s="3"/>
      <c r="F14" s="3"/>
      <c r="G14" s="3"/>
      <c r="H14" s="3"/>
      <c r="I14" s="3"/>
      <c r="J14" s="3"/>
      <c r="K14" s="5"/>
      <c r="L14" s="5"/>
      <c r="M14" s="3"/>
      <c r="N14" s="3"/>
      <c r="O14" s="4" t="str">
        <f t="shared" ca="1" si="0"/>
        <v/>
      </c>
      <c r="P14" s="3"/>
    </row>
    <row r="15" spans="1:16" ht="26.1" customHeight="1">
      <c r="A15" s="18"/>
      <c r="B15" s="18"/>
      <c r="C15" s="18"/>
      <c r="D15" s="18"/>
      <c r="E15" s="3"/>
      <c r="F15" s="3"/>
      <c r="G15" s="3"/>
      <c r="H15" s="3"/>
      <c r="I15" s="3"/>
      <c r="J15" s="3"/>
      <c r="K15" s="5"/>
      <c r="L15" s="5"/>
      <c r="M15" s="3"/>
      <c r="N15" s="3"/>
      <c r="O15" s="4" t="str">
        <f t="shared" ca="1" si="0"/>
        <v/>
      </c>
      <c r="P15" s="3"/>
    </row>
    <row r="16" spans="1:16" ht="26.1" customHeight="1">
      <c r="A16" s="18"/>
      <c r="B16" s="18"/>
      <c r="C16" s="18"/>
      <c r="D16" s="18"/>
      <c r="E16" s="3"/>
      <c r="F16" s="3"/>
      <c r="G16" s="3"/>
      <c r="H16" s="3"/>
      <c r="I16" s="3"/>
      <c r="J16" s="3"/>
      <c r="K16" s="5"/>
      <c r="L16" s="5"/>
      <c r="M16" s="3"/>
      <c r="N16" s="3"/>
      <c r="O16" s="4" t="str">
        <f t="shared" ca="1" si="0"/>
        <v/>
      </c>
      <c r="P16" s="3"/>
    </row>
    <row r="17" spans="1:16" ht="26.1" customHeight="1">
      <c r="A17" s="18"/>
      <c r="B17" s="18"/>
      <c r="C17" s="18"/>
      <c r="D17" s="18"/>
      <c r="E17" s="3"/>
      <c r="F17" s="3"/>
      <c r="G17" s="3"/>
      <c r="H17" s="3"/>
      <c r="I17" s="3"/>
      <c r="J17" s="3"/>
      <c r="K17" s="5"/>
      <c r="L17" s="5"/>
      <c r="M17" s="3"/>
      <c r="N17" s="3"/>
      <c r="O17" s="4" t="str">
        <f t="shared" ca="1" si="0"/>
        <v/>
      </c>
      <c r="P17" s="3"/>
    </row>
    <row r="18" spans="1:16" ht="26.1" customHeight="1">
      <c r="A18" s="18"/>
      <c r="B18" s="18"/>
      <c r="C18" s="18"/>
      <c r="D18" s="18"/>
      <c r="E18" s="3"/>
      <c r="F18" s="3"/>
      <c r="G18" s="3"/>
      <c r="H18" s="3"/>
      <c r="I18" s="3"/>
      <c r="J18" s="3"/>
      <c r="K18" s="5"/>
      <c r="L18" s="5"/>
      <c r="M18" s="3"/>
      <c r="N18" s="3"/>
      <c r="O18" s="4" t="str">
        <f t="shared" ca="1" si="0"/>
        <v/>
      </c>
      <c r="P18" s="3"/>
    </row>
    <row r="19" spans="1:16" ht="26.1" customHeight="1">
      <c r="A19" s="18"/>
      <c r="B19" s="18"/>
      <c r="C19" s="18"/>
      <c r="D19" s="18"/>
      <c r="E19" s="3"/>
      <c r="F19" s="3"/>
      <c r="G19" s="3"/>
      <c r="H19" s="3"/>
      <c r="I19" s="3"/>
      <c r="J19" s="3"/>
      <c r="K19" s="5"/>
      <c r="L19" s="5"/>
      <c r="M19" s="3"/>
      <c r="N19" s="3"/>
      <c r="O19" s="4" t="str">
        <f t="shared" ca="1" si="0"/>
        <v/>
      </c>
      <c r="P19" s="3"/>
    </row>
    <row r="20" spans="1:16" ht="26.1" customHeight="1">
      <c r="A20" s="18"/>
      <c r="B20" s="18"/>
      <c r="C20" s="18"/>
      <c r="D20" s="18"/>
      <c r="E20" s="3"/>
      <c r="F20" s="3"/>
      <c r="G20" s="3"/>
      <c r="H20" s="3"/>
      <c r="I20" s="3"/>
      <c r="J20" s="3"/>
      <c r="K20" s="5"/>
      <c r="L20" s="5"/>
      <c r="M20" s="3"/>
      <c r="N20" s="3"/>
      <c r="O20" s="4" t="str">
        <f t="shared" ca="1" si="0"/>
        <v/>
      </c>
      <c r="P20" s="3"/>
    </row>
    <row r="21" spans="1:16" ht="26.1" customHeight="1">
      <c r="A21" s="18"/>
      <c r="B21" s="18"/>
      <c r="C21" s="18"/>
      <c r="D21" s="18"/>
      <c r="E21" s="3"/>
      <c r="F21" s="3"/>
      <c r="G21" s="3"/>
      <c r="H21" s="3"/>
      <c r="I21" s="3"/>
      <c r="J21" s="3"/>
      <c r="K21" s="5"/>
      <c r="L21" s="5"/>
      <c r="M21" s="3"/>
      <c r="N21" s="3"/>
      <c r="O21" s="4" t="str">
        <f t="shared" ca="1" si="0"/>
        <v/>
      </c>
      <c r="P21" s="3"/>
    </row>
    <row r="22" spans="1:16" ht="26.1" customHeight="1">
      <c r="A22" s="18"/>
      <c r="B22" s="18"/>
      <c r="C22" s="18"/>
      <c r="D22" s="18"/>
      <c r="E22" s="3"/>
      <c r="F22" s="3"/>
      <c r="G22" s="3"/>
      <c r="H22" s="3"/>
      <c r="I22" s="3"/>
      <c r="J22" s="3"/>
      <c r="K22" s="5"/>
      <c r="L22" s="5"/>
      <c r="M22" s="3"/>
      <c r="N22" s="3"/>
      <c r="O22" s="4" t="str">
        <f t="shared" ca="1" si="0"/>
        <v/>
      </c>
      <c r="P22" s="3"/>
    </row>
    <row r="23" spans="1:16" ht="26.1" customHeight="1">
      <c r="A23" s="18"/>
      <c r="B23" s="18"/>
      <c r="C23" s="18"/>
      <c r="D23" s="18"/>
      <c r="E23" s="3"/>
      <c r="F23" s="3"/>
      <c r="G23" s="3"/>
      <c r="H23" s="3"/>
      <c r="I23" s="3"/>
      <c r="J23" s="3"/>
      <c r="K23" s="5"/>
      <c r="L23" s="5"/>
      <c r="M23" s="3"/>
      <c r="N23" s="3"/>
      <c r="O23" s="4" t="str">
        <f t="shared" ca="1" si="0"/>
        <v/>
      </c>
      <c r="P23" s="3"/>
    </row>
    <row r="24" spans="1:16" ht="26.1" customHeight="1">
      <c r="A24" s="18"/>
      <c r="B24" s="18"/>
      <c r="C24" s="18"/>
      <c r="D24" s="18"/>
      <c r="E24" s="3"/>
      <c r="F24" s="3"/>
      <c r="G24" s="3"/>
      <c r="H24" s="3"/>
      <c r="I24" s="3"/>
      <c r="J24" s="3"/>
      <c r="K24" s="5"/>
      <c r="L24" s="5"/>
      <c r="M24" s="3"/>
      <c r="N24" s="3"/>
      <c r="O24" s="4" t="str">
        <f t="shared" ca="1" si="0"/>
        <v/>
      </c>
      <c r="P24" s="3"/>
    </row>
    <row r="25" spans="1:16" ht="26.1" customHeight="1">
      <c r="A25" s="18"/>
      <c r="B25" s="18"/>
      <c r="C25" s="18"/>
      <c r="D25" s="18"/>
      <c r="E25" s="3"/>
      <c r="F25" s="3"/>
      <c r="G25" s="3"/>
      <c r="H25" s="3"/>
      <c r="I25" s="3"/>
      <c r="J25" s="3"/>
      <c r="K25" s="5"/>
      <c r="L25" s="5"/>
      <c r="M25" s="3"/>
      <c r="N25" s="3"/>
      <c r="O25" s="4" t="str">
        <f t="shared" ca="1" si="0"/>
        <v/>
      </c>
      <c r="P25" s="3"/>
    </row>
    <row r="26" spans="1:16" ht="26.1" customHeight="1">
      <c r="A26" s="18"/>
      <c r="B26" s="18"/>
      <c r="C26" s="18"/>
      <c r="D26" s="18"/>
      <c r="E26" s="3"/>
      <c r="F26" s="3"/>
      <c r="G26" s="3"/>
      <c r="H26" s="3"/>
      <c r="I26" s="3"/>
      <c r="J26" s="3"/>
      <c r="K26" s="5"/>
      <c r="L26" s="5"/>
      <c r="M26" s="3"/>
      <c r="N26" s="3"/>
      <c r="O26" s="4" t="str">
        <f t="shared" ca="1" si="0"/>
        <v/>
      </c>
      <c r="P26" s="3"/>
    </row>
    <row r="27" spans="1:16" ht="26.1" customHeight="1">
      <c r="A27" s="18"/>
      <c r="B27" s="18"/>
      <c r="C27" s="18"/>
      <c r="D27" s="18"/>
      <c r="E27" s="3"/>
      <c r="F27" s="3"/>
      <c r="G27" s="3"/>
      <c r="H27" s="3"/>
      <c r="I27" s="3"/>
      <c r="J27" s="3"/>
      <c r="K27" s="5"/>
      <c r="L27" s="5"/>
      <c r="M27" s="3"/>
      <c r="N27" s="3"/>
      <c r="O27" s="4" t="str">
        <f t="shared" ca="1" si="0"/>
        <v/>
      </c>
      <c r="P27" s="3"/>
    </row>
    <row r="28" spans="1:16" ht="26.1" customHeight="1">
      <c r="A28" s="18"/>
      <c r="B28" s="18"/>
      <c r="C28" s="18"/>
      <c r="D28" s="18"/>
      <c r="E28" s="3"/>
      <c r="F28" s="3"/>
      <c r="G28" s="3"/>
      <c r="H28" s="3"/>
      <c r="I28" s="3"/>
      <c r="J28" s="3"/>
      <c r="K28" s="5"/>
      <c r="L28" s="5"/>
      <c r="M28" s="3"/>
      <c r="N28" s="3"/>
      <c r="O28" s="4" t="str">
        <f t="shared" ca="1" si="0"/>
        <v/>
      </c>
      <c r="P28" s="3"/>
    </row>
    <row r="29" spans="1:16" ht="26.1" customHeight="1">
      <c r="A29" s="18"/>
      <c r="B29" s="18"/>
      <c r="C29" s="18"/>
      <c r="D29" s="18"/>
      <c r="E29" s="3"/>
      <c r="F29" s="3"/>
      <c r="G29" s="3"/>
      <c r="H29" s="3"/>
      <c r="I29" s="3"/>
      <c r="J29" s="3"/>
      <c r="K29" s="5"/>
      <c r="L29" s="5"/>
      <c r="M29" s="3"/>
      <c r="N29" s="3"/>
      <c r="O29" s="4" t="str">
        <f t="shared" ca="1" si="0"/>
        <v/>
      </c>
      <c r="P29" s="3"/>
    </row>
    <row r="30" spans="1:16" ht="26.1" customHeight="1">
      <c r="A30" s="18"/>
      <c r="B30" s="18"/>
      <c r="C30" s="18"/>
      <c r="D30" s="18"/>
      <c r="E30" s="3"/>
      <c r="F30" s="3"/>
      <c r="G30" s="3"/>
      <c r="H30" s="3"/>
      <c r="I30" s="3"/>
      <c r="J30" s="3"/>
      <c r="K30" s="5"/>
      <c r="L30" s="5"/>
      <c r="M30" s="3"/>
      <c r="N30" s="3"/>
      <c r="O30" s="4" t="str">
        <f t="shared" ca="1" si="0"/>
        <v/>
      </c>
      <c r="P30" s="3"/>
    </row>
    <row r="31" spans="1:16" ht="26.1" customHeight="1">
      <c r="A31" s="18"/>
      <c r="B31" s="18"/>
      <c r="C31" s="18"/>
      <c r="D31" s="18"/>
      <c r="E31" s="3"/>
      <c r="F31" s="3"/>
      <c r="G31" s="3"/>
      <c r="H31" s="3"/>
      <c r="I31" s="3"/>
      <c r="J31" s="3"/>
      <c r="K31" s="5"/>
      <c r="L31" s="5"/>
      <c r="M31" s="3"/>
      <c r="N31" s="3"/>
      <c r="O31" s="4" t="str">
        <f t="shared" ca="1" si="0"/>
        <v/>
      </c>
      <c r="P31" s="3"/>
    </row>
    <row r="32" spans="1:16" ht="26.1" customHeight="1">
      <c r="A32" s="18"/>
      <c r="B32" s="18"/>
      <c r="C32" s="18"/>
      <c r="D32" s="18"/>
      <c r="E32" s="3"/>
      <c r="F32" s="3"/>
      <c r="G32" s="3"/>
      <c r="H32" s="3"/>
      <c r="I32" s="3"/>
      <c r="J32" s="3"/>
      <c r="K32" s="5"/>
      <c r="L32" s="5"/>
      <c r="M32" s="3"/>
      <c r="N32" s="3"/>
      <c r="O32" s="4" t="str">
        <f t="shared" ca="1" si="0"/>
        <v/>
      </c>
      <c r="P32" s="3"/>
    </row>
    <row r="33" spans="1:16" ht="26.1" customHeight="1">
      <c r="A33" s="18"/>
      <c r="B33" s="18"/>
      <c r="C33" s="18"/>
      <c r="D33" s="18"/>
      <c r="E33" s="3"/>
      <c r="F33" s="3"/>
      <c r="G33" s="3"/>
      <c r="H33" s="3"/>
      <c r="I33" s="3"/>
      <c r="J33" s="3"/>
      <c r="K33" s="5"/>
      <c r="L33" s="5"/>
      <c r="M33" s="3"/>
      <c r="N33" s="3"/>
      <c r="O33" s="4" t="str">
        <f t="shared" ca="1" si="0"/>
        <v/>
      </c>
      <c r="P33" s="3"/>
    </row>
    <row r="34" spans="1:16" ht="26.1" customHeight="1">
      <c r="A34" s="18"/>
      <c r="B34" s="18"/>
      <c r="C34" s="18"/>
      <c r="D34" s="18"/>
      <c r="E34" s="3"/>
      <c r="F34" s="3"/>
      <c r="G34" s="3"/>
      <c r="H34" s="3"/>
      <c r="I34" s="3"/>
      <c r="J34" s="3"/>
      <c r="K34" s="5"/>
      <c r="L34" s="5"/>
      <c r="M34" s="3"/>
      <c r="N34" s="3"/>
      <c r="O34" s="4" t="str">
        <f t="shared" ca="1" si="0"/>
        <v/>
      </c>
      <c r="P34" s="3"/>
    </row>
    <row r="35" spans="1:16" ht="26.1" customHeight="1">
      <c r="A35" s="18"/>
      <c r="B35" s="18"/>
      <c r="C35" s="18"/>
      <c r="D35" s="18"/>
      <c r="E35" s="3"/>
      <c r="F35" s="3"/>
      <c r="G35" s="3"/>
      <c r="H35" s="3"/>
      <c r="I35" s="3"/>
      <c r="J35" s="3"/>
      <c r="K35" s="5"/>
      <c r="L35" s="5"/>
      <c r="M35" s="3"/>
      <c r="N35" s="3"/>
      <c r="O35" s="4" t="str">
        <f t="shared" ca="1" si="0"/>
        <v/>
      </c>
      <c r="P35" s="3"/>
    </row>
    <row r="36" spans="1:16" ht="26.1" customHeight="1">
      <c r="A36" s="18"/>
      <c r="B36" s="18"/>
      <c r="C36" s="18"/>
      <c r="D36" s="18"/>
      <c r="E36" s="3"/>
      <c r="F36" s="3"/>
      <c r="G36" s="3"/>
      <c r="H36" s="3"/>
      <c r="I36" s="3"/>
      <c r="J36" s="3"/>
      <c r="K36" s="5"/>
      <c r="L36" s="5"/>
      <c r="M36" s="3"/>
      <c r="N36" s="3"/>
      <c r="O36" s="4" t="str">
        <f t="shared" ca="1" si="0"/>
        <v/>
      </c>
      <c r="P36" s="3"/>
    </row>
    <row r="37" spans="1:16" ht="26.1" customHeight="1">
      <c r="A37" s="18"/>
      <c r="B37" s="18"/>
      <c r="C37" s="18"/>
      <c r="D37" s="18"/>
      <c r="E37" s="3"/>
      <c r="F37" s="3"/>
      <c r="G37" s="3"/>
      <c r="H37" s="3"/>
      <c r="I37" s="3"/>
      <c r="J37" s="3"/>
      <c r="K37" s="5"/>
      <c r="L37" s="5"/>
      <c r="M37" s="3"/>
      <c r="N37" s="3"/>
      <c r="O37" s="4" t="str">
        <f t="shared" ca="1" si="0"/>
        <v/>
      </c>
      <c r="P37" s="3"/>
    </row>
    <row r="38" spans="1:16" ht="26.1" customHeight="1">
      <c r="A38" s="18"/>
      <c r="B38" s="18"/>
      <c r="C38" s="18"/>
      <c r="D38" s="18"/>
      <c r="E38" s="3"/>
      <c r="F38" s="3"/>
      <c r="G38" s="3"/>
      <c r="H38" s="3"/>
      <c r="I38" s="3"/>
      <c r="J38" s="3"/>
      <c r="K38" s="5"/>
      <c r="L38" s="5"/>
      <c r="M38" s="3"/>
      <c r="N38" s="3"/>
      <c r="O38" s="4" t="str">
        <f t="shared" ca="1" si="0"/>
        <v/>
      </c>
      <c r="P38" s="3"/>
    </row>
    <row r="39" spans="1:16" ht="26.1" customHeight="1">
      <c r="A39" s="18"/>
      <c r="B39" s="18"/>
      <c r="C39" s="18"/>
      <c r="D39" s="18"/>
      <c r="E39" s="3"/>
      <c r="F39" s="3"/>
      <c r="G39" s="3"/>
      <c r="H39" s="3"/>
      <c r="I39" s="3"/>
      <c r="J39" s="3"/>
      <c r="K39" s="5"/>
      <c r="L39" s="5"/>
      <c r="M39" s="3"/>
      <c r="N39" s="3"/>
      <c r="O39" s="4" t="str">
        <f t="shared" ref="O39:O70" ca="1" si="1">IF(E39="","",IF(ISNUMBER(K39),IF(J39="Completed",0,MAX(0,TODAY()-K39)),""))</f>
        <v/>
      </c>
      <c r="P39" s="3"/>
    </row>
    <row r="40" spans="1:16" ht="26.1" customHeight="1">
      <c r="A40" s="18"/>
      <c r="B40" s="18"/>
      <c r="C40" s="18"/>
      <c r="D40" s="18"/>
      <c r="E40" s="3"/>
      <c r="F40" s="3"/>
      <c r="G40" s="3"/>
      <c r="H40" s="3"/>
      <c r="I40" s="3"/>
      <c r="J40" s="3"/>
      <c r="K40" s="5"/>
      <c r="L40" s="5"/>
      <c r="M40" s="3"/>
      <c r="N40" s="3"/>
      <c r="O40" s="4" t="str">
        <f t="shared" ca="1" si="1"/>
        <v/>
      </c>
      <c r="P40" s="3"/>
    </row>
    <row r="41" spans="1:16" ht="26.1" customHeight="1">
      <c r="A41" s="18"/>
      <c r="B41" s="18"/>
      <c r="C41" s="18"/>
      <c r="D41" s="18"/>
      <c r="E41" s="3"/>
      <c r="F41" s="3"/>
      <c r="G41" s="3"/>
      <c r="H41" s="3"/>
      <c r="I41" s="3"/>
      <c r="J41" s="3"/>
      <c r="K41" s="5"/>
      <c r="L41" s="5"/>
      <c r="M41" s="3"/>
      <c r="N41" s="3"/>
      <c r="O41" s="4" t="str">
        <f t="shared" ca="1" si="1"/>
        <v/>
      </c>
      <c r="P41" s="3"/>
    </row>
    <row r="42" spans="1:16" ht="26.1" customHeight="1">
      <c r="A42" s="18"/>
      <c r="B42" s="18"/>
      <c r="C42" s="18"/>
      <c r="D42" s="18"/>
      <c r="E42" s="3"/>
      <c r="F42" s="3"/>
      <c r="G42" s="3"/>
      <c r="H42" s="3"/>
      <c r="I42" s="3"/>
      <c r="J42" s="3"/>
      <c r="K42" s="5"/>
      <c r="L42" s="5"/>
      <c r="M42" s="3"/>
      <c r="N42" s="3"/>
      <c r="O42" s="4" t="str">
        <f t="shared" ca="1" si="1"/>
        <v/>
      </c>
      <c r="P42" s="3"/>
    </row>
    <row r="43" spans="1:16" ht="26.1" customHeight="1">
      <c r="A43" s="18"/>
      <c r="B43" s="18"/>
      <c r="C43" s="18"/>
      <c r="D43" s="18"/>
      <c r="E43" s="3"/>
      <c r="F43" s="3"/>
      <c r="G43" s="3"/>
      <c r="H43" s="3"/>
      <c r="I43" s="3"/>
      <c r="J43" s="3"/>
      <c r="K43" s="5"/>
      <c r="L43" s="5"/>
      <c r="M43" s="3"/>
      <c r="N43" s="3"/>
      <c r="O43" s="4" t="str">
        <f t="shared" ca="1" si="1"/>
        <v/>
      </c>
      <c r="P43" s="3"/>
    </row>
    <row r="44" spans="1:16" ht="26.1" customHeight="1">
      <c r="A44" s="18"/>
      <c r="B44" s="18"/>
      <c r="C44" s="18"/>
      <c r="D44" s="18"/>
      <c r="E44" s="3"/>
      <c r="F44" s="3"/>
      <c r="G44" s="3"/>
      <c r="H44" s="3"/>
      <c r="I44" s="3"/>
      <c r="J44" s="3"/>
      <c r="K44" s="5"/>
      <c r="L44" s="5"/>
      <c r="M44" s="3"/>
      <c r="N44" s="3"/>
      <c r="O44" s="4" t="str">
        <f t="shared" ca="1" si="1"/>
        <v/>
      </c>
      <c r="P44" s="3"/>
    </row>
    <row r="45" spans="1:16" ht="26.1" customHeight="1">
      <c r="A45" s="18"/>
      <c r="B45" s="18"/>
      <c r="C45" s="18"/>
      <c r="D45" s="18"/>
      <c r="E45" s="3"/>
      <c r="F45" s="3"/>
      <c r="G45" s="3"/>
      <c r="H45" s="3"/>
      <c r="I45" s="3"/>
      <c r="J45" s="3"/>
      <c r="K45" s="5"/>
      <c r="L45" s="5"/>
      <c r="M45" s="3"/>
      <c r="N45" s="3"/>
      <c r="O45" s="4" t="str">
        <f t="shared" ca="1" si="1"/>
        <v/>
      </c>
      <c r="P45" s="3"/>
    </row>
    <row r="46" spans="1:16" ht="26.1" customHeight="1">
      <c r="A46" s="18"/>
      <c r="B46" s="18"/>
      <c r="C46" s="18"/>
      <c r="D46" s="18"/>
      <c r="E46" s="3"/>
      <c r="F46" s="3"/>
      <c r="G46" s="3"/>
      <c r="H46" s="3"/>
      <c r="I46" s="3"/>
      <c r="J46" s="3"/>
      <c r="K46" s="5"/>
      <c r="L46" s="5"/>
      <c r="M46" s="3"/>
      <c r="N46" s="3"/>
      <c r="O46" s="4" t="str">
        <f t="shared" ca="1" si="1"/>
        <v/>
      </c>
      <c r="P46" s="3"/>
    </row>
    <row r="47" spans="1:16" ht="26.1" customHeight="1">
      <c r="A47" s="18"/>
      <c r="B47" s="18"/>
      <c r="C47" s="18"/>
      <c r="D47" s="18"/>
      <c r="E47" s="3"/>
      <c r="F47" s="3"/>
      <c r="G47" s="3"/>
      <c r="H47" s="3"/>
      <c r="I47" s="3"/>
      <c r="J47" s="3"/>
      <c r="K47" s="5"/>
      <c r="L47" s="5"/>
      <c r="M47" s="3"/>
      <c r="N47" s="3"/>
      <c r="O47" s="4" t="str">
        <f t="shared" ca="1" si="1"/>
        <v/>
      </c>
      <c r="P47" s="3"/>
    </row>
    <row r="48" spans="1:16" ht="26.1" customHeight="1">
      <c r="A48" s="18"/>
      <c r="B48" s="18"/>
      <c r="C48" s="18"/>
      <c r="D48" s="18"/>
      <c r="E48" s="3"/>
      <c r="F48" s="3"/>
      <c r="G48" s="3"/>
      <c r="H48" s="3"/>
      <c r="I48" s="3"/>
      <c r="J48" s="3"/>
      <c r="K48" s="5"/>
      <c r="L48" s="5"/>
      <c r="M48" s="3"/>
      <c r="N48" s="3"/>
      <c r="O48" s="4" t="str">
        <f t="shared" ca="1" si="1"/>
        <v/>
      </c>
      <c r="P48" s="3"/>
    </row>
    <row r="49" spans="1:16" ht="26.1" customHeight="1">
      <c r="A49" s="18"/>
      <c r="B49" s="18"/>
      <c r="C49" s="18"/>
      <c r="D49" s="18"/>
      <c r="E49" s="3"/>
      <c r="F49" s="3"/>
      <c r="G49" s="3"/>
      <c r="H49" s="3"/>
      <c r="I49" s="3"/>
      <c r="J49" s="3"/>
      <c r="K49" s="5"/>
      <c r="L49" s="5"/>
      <c r="M49" s="3"/>
      <c r="N49" s="3"/>
      <c r="O49" s="4" t="str">
        <f t="shared" ca="1" si="1"/>
        <v/>
      </c>
      <c r="P49" s="3"/>
    </row>
    <row r="50" spans="1:16" ht="26.1" customHeight="1">
      <c r="A50" s="18"/>
      <c r="B50" s="18"/>
      <c r="C50" s="18"/>
      <c r="D50" s="18"/>
      <c r="E50" s="3"/>
      <c r="F50" s="3"/>
      <c r="G50" s="3"/>
      <c r="H50" s="3"/>
      <c r="I50" s="3"/>
      <c r="J50" s="3"/>
      <c r="K50" s="5"/>
      <c r="L50" s="5"/>
      <c r="M50" s="3"/>
      <c r="N50" s="3"/>
      <c r="O50" s="4" t="str">
        <f t="shared" ca="1" si="1"/>
        <v/>
      </c>
      <c r="P50" s="3"/>
    </row>
    <row r="51" spans="1:16" ht="26.1" customHeight="1">
      <c r="A51" s="18"/>
      <c r="B51" s="18"/>
      <c r="C51" s="18"/>
      <c r="D51" s="18"/>
      <c r="E51" s="3"/>
      <c r="F51" s="3"/>
      <c r="G51" s="3"/>
      <c r="H51" s="3"/>
      <c r="I51" s="3"/>
      <c r="J51" s="3"/>
      <c r="K51" s="5"/>
      <c r="L51" s="5"/>
      <c r="M51" s="3"/>
      <c r="N51" s="3"/>
      <c r="O51" s="4" t="str">
        <f t="shared" ca="1" si="1"/>
        <v/>
      </c>
      <c r="P51" s="3"/>
    </row>
    <row r="52" spans="1:16" ht="26.1" customHeight="1">
      <c r="A52" s="18"/>
      <c r="B52" s="18"/>
      <c r="C52" s="18"/>
      <c r="D52" s="18"/>
      <c r="E52" s="3"/>
      <c r="F52" s="3"/>
      <c r="G52" s="3"/>
      <c r="H52" s="3"/>
      <c r="I52" s="3"/>
      <c r="J52" s="3"/>
      <c r="K52" s="5"/>
      <c r="L52" s="5"/>
      <c r="M52" s="3"/>
      <c r="N52" s="3"/>
      <c r="O52" s="4" t="str">
        <f t="shared" ca="1" si="1"/>
        <v/>
      </c>
      <c r="P52" s="3"/>
    </row>
    <row r="53" spans="1:16" ht="26.1" customHeight="1">
      <c r="A53" s="18"/>
      <c r="B53" s="18"/>
      <c r="C53" s="18"/>
      <c r="D53" s="18"/>
      <c r="E53" s="3"/>
      <c r="F53" s="3"/>
      <c r="G53" s="3"/>
      <c r="H53" s="3"/>
      <c r="I53" s="3"/>
      <c r="J53" s="3"/>
      <c r="K53" s="5"/>
      <c r="L53" s="5"/>
      <c r="M53" s="3"/>
      <c r="N53" s="3"/>
      <c r="O53" s="4" t="str">
        <f t="shared" ca="1" si="1"/>
        <v/>
      </c>
      <c r="P53" s="3"/>
    </row>
    <row r="54" spans="1:16" ht="26.1" customHeight="1">
      <c r="A54" s="18"/>
      <c r="B54" s="18"/>
      <c r="C54" s="18"/>
      <c r="D54" s="18"/>
      <c r="E54" s="3"/>
      <c r="F54" s="3"/>
      <c r="G54" s="3"/>
      <c r="H54" s="3"/>
      <c r="I54" s="3"/>
      <c r="J54" s="3"/>
      <c r="K54" s="5"/>
      <c r="L54" s="5"/>
      <c r="M54" s="3"/>
      <c r="N54" s="3"/>
      <c r="O54" s="4" t="str">
        <f t="shared" ca="1" si="1"/>
        <v/>
      </c>
      <c r="P54" s="3"/>
    </row>
    <row r="55" spans="1:16" ht="26.1" customHeight="1">
      <c r="A55" s="18"/>
      <c r="B55" s="18"/>
      <c r="C55" s="18"/>
      <c r="D55" s="18"/>
      <c r="E55" s="3"/>
      <c r="F55" s="3"/>
      <c r="G55" s="3"/>
      <c r="H55" s="3"/>
      <c r="I55" s="3"/>
      <c r="J55" s="3"/>
      <c r="K55" s="5"/>
      <c r="L55" s="5"/>
      <c r="M55" s="3"/>
      <c r="N55" s="3"/>
      <c r="O55" s="4" t="str">
        <f t="shared" ca="1" si="1"/>
        <v/>
      </c>
      <c r="P55" s="3"/>
    </row>
    <row r="56" spans="1:16" ht="26.1" customHeight="1">
      <c r="A56" s="18"/>
      <c r="B56" s="18"/>
      <c r="C56" s="18"/>
      <c r="D56" s="18"/>
      <c r="E56" s="3"/>
      <c r="F56" s="3"/>
      <c r="G56" s="3"/>
      <c r="H56" s="3"/>
      <c r="I56" s="3"/>
      <c r="J56" s="3"/>
      <c r="K56" s="5"/>
      <c r="L56" s="5"/>
      <c r="M56" s="3"/>
      <c r="N56" s="3"/>
      <c r="O56" s="4" t="str">
        <f t="shared" ca="1" si="1"/>
        <v/>
      </c>
      <c r="P56" s="3"/>
    </row>
    <row r="57" spans="1:16" ht="26.1" customHeight="1">
      <c r="A57" s="18"/>
      <c r="B57" s="18"/>
      <c r="C57" s="18"/>
      <c r="D57" s="18"/>
      <c r="E57" s="3"/>
      <c r="F57" s="3"/>
      <c r="G57" s="3"/>
      <c r="H57" s="3"/>
      <c r="I57" s="3"/>
      <c r="J57" s="3"/>
      <c r="K57" s="5"/>
      <c r="L57" s="5"/>
      <c r="M57" s="3"/>
      <c r="N57" s="3"/>
      <c r="O57" s="4" t="str">
        <f t="shared" ca="1" si="1"/>
        <v/>
      </c>
      <c r="P57" s="3"/>
    </row>
    <row r="58" spans="1:16" ht="26.1" customHeight="1">
      <c r="A58" s="18"/>
      <c r="B58" s="18"/>
      <c r="C58" s="18"/>
      <c r="D58" s="18"/>
      <c r="E58" s="3"/>
      <c r="F58" s="3"/>
      <c r="G58" s="3"/>
      <c r="H58" s="3"/>
      <c r="I58" s="3"/>
      <c r="J58" s="3"/>
      <c r="K58" s="5"/>
      <c r="L58" s="5"/>
      <c r="M58" s="3"/>
      <c r="N58" s="3"/>
      <c r="O58" s="4" t="str">
        <f t="shared" ca="1" si="1"/>
        <v/>
      </c>
      <c r="P58" s="3"/>
    </row>
    <row r="59" spans="1:16" ht="26.1" customHeight="1">
      <c r="A59" s="18"/>
      <c r="B59" s="18"/>
      <c r="C59" s="18"/>
      <c r="D59" s="18"/>
      <c r="E59" s="3"/>
      <c r="F59" s="3"/>
      <c r="G59" s="3"/>
      <c r="H59" s="3"/>
      <c r="I59" s="3"/>
      <c r="J59" s="3"/>
      <c r="K59" s="5"/>
      <c r="L59" s="5"/>
      <c r="M59" s="3"/>
      <c r="N59" s="3"/>
      <c r="O59" s="4" t="str">
        <f t="shared" ca="1" si="1"/>
        <v/>
      </c>
      <c r="P59" s="3"/>
    </row>
    <row r="60" spans="1:16" ht="26.1" customHeight="1">
      <c r="A60" s="18"/>
      <c r="B60" s="18"/>
      <c r="C60" s="18"/>
      <c r="D60" s="18"/>
      <c r="E60" s="3"/>
      <c r="F60" s="3"/>
      <c r="G60" s="3"/>
      <c r="H60" s="3"/>
      <c r="I60" s="3"/>
      <c r="J60" s="3"/>
      <c r="K60" s="5"/>
      <c r="L60" s="5"/>
      <c r="M60" s="3"/>
      <c r="N60" s="3"/>
      <c r="O60" s="4" t="str">
        <f t="shared" ca="1" si="1"/>
        <v/>
      </c>
      <c r="P60" s="3"/>
    </row>
    <row r="61" spans="1:16" ht="26.1" customHeight="1">
      <c r="A61" s="18"/>
      <c r="B61" s="18"/>
      <c r="C61" s="18"/>
      <c r="D61" s="18"/>
      <c r="E61" s="3"/>
      <c r="F61" s="3"/>
      <c r="G61" s="3"/>
      <c r="H61" s="3"/>
      <c r="I61" s="3"/>
      <c r="J61" s="3"/>
      <c r="K61" s="5"/>
      <c r="L61" s="5"/>
      <c r="M61" s="3"/>
      <c r="N61" s="3"/>
      <c r="O61" s="4" t="str">
        <f t="shared" ca="1" si="1"/>
        <v/>
      </c>
      <c r="P61" s="3"/>
    </row>
    <row r="62" spans="1:16" ht="26.1" customHeight="1">
      <c r="A62" s="18"/>
      <c r="B62" s="18"/>
      <c r="C62" s="18"/>
      <c r="D62" s="18"/>
      <c r="E62" s="3"/>
      <c r="F62" s="3"/>
      <c r="G62" s="3"/>
      <c r="H62" s="3"/>
      <c r="I62" s="3"/>
      <c r="J62" s="3"/>
      <c r="K62" s="5"/>
      <c r="L62" s="5"/>
      <c r="M62" s="3"/>
      <c r="N62" s="3"/>
      <c r="O62" s="4" t="str">
        <f t="shared" ca="1" si="1"/>
        <v/>
      </c>
      <c r="P62" s="3"/>
    </row>
    <row r="63" spans="1:16" ht="26.1" customHeight="1">
      <c r="A63" s="18"/>
      <c r="B63" s="18"/>
      <c r="C63" s="18"/>
      <c r="D63" s="18"/>
      <c r="E63" s="3"/>
      <c r="F63" s="3"/>
      <c r="G63" s="3"/>
      <c r="H63" s="3"/>
      <c r="I63" s="3"/>
      <c r="J63" s="3"/>
      <c r="K63" s="5"/>
      <c r="L63" s="5"/>
      <c r="M63" s="3"/>
      <c r="N63" s="3"/>
      <c r="O63" s="4" t="str">
        <f t="shared" ca="1" si="1"/>
        <v/>
      </c>
      <c r="P63" s="3"/>
    </row>
    <row r="64" spans="1:16" ht="26.1" customHeight="1">
      <c r="A64" s="18"/>
      <c r="B64" s="18"/>
      <c r="C64" s="18"/>
      <c r="D64" s="18"/>
      <c r="E64" s="3"/>
      <c r="F64" s="3"/>
      <c r="G64" s="3"/>
      <c r="H64" s="3"/>
      <c r="I64" s="3"/>
      <c r="J64" s="3"/>
      <c r="K64" s="5"/>
      <c r="L64" s="5"/>
      <c r="M64" s="3"/>
      <c r="N64" s="3"/>
      <c r="O64" s="4" t="str">
        <f t="shared" ca="1" si="1"/>
        <v/>
      </c>
      <c r="P64" s="3"/>
    </row>
    <row r="65" spans="1:16" ht="26.1" customHeight="1">
      <c r="A65" s="18"/>
      <c r="B65" s="18"/>
      <c r="C65" s="18"/>
      <c r="D65" s="18"/>
      <c r="E65" s="3"/>
      <c r="F65" s="3"/>
      <c r="G65" s="3"/>
      <c r="H65" s="3"/>
      <c r="I65" s="3"/>
      <c r="J65" s="3"/>
      <c r="K65" s="5"/>
      <c r="L65" s="5"/>
      <c r="M65" s="3"/>
      <c r="N65" s="3"/>
      <c r="O65" s="4" t="str">
        <f t="shared" ca="1" si="1"/>
        <v/>
      </c>
      <c r="P65" s="3"/>
    </row>
    <row r="66" spans="1:16" ht="26.1" customHeight="1">
      <c r="A66" s="18"/>
      <c r="B66" s="18"/>
      <c r="C66" s="18"/>
      <c r="D66" s="18"/>
      <c r="E66" s="3"/>
      <c r="F66" s="3"/>
      <c r="G66" s="3"/>
      <c r="H66" s="3"/>
      <c r="I66" s="3"/>
      <c r="J66" s="3"/>
      <c r="K66" s="5"/>
      <c r="L66" s="5"/>
      <c r="M66" s="3"/>
      <c r="N66" s="3"/>
      <c r="O66" s="4" t="str">
        <f t="shared" ca="1" si="1"/>
        <v/>
      </c>
      <c r="P66" s="3"/>
    </row>
    <row r="67" spans="1:16" ht="26.1" customHeight="1">
      <c r="A67" s="18"/>
      <c r="B67" s="18"/>
      <c r="C67" s="18"/>
      <c r="D67" s="18"/>
      <c r="E67" s="3"/>
      <c r="F67" s="3"/>
      <c r="G67" s="3"/>
      <c r="H67" s="3"/>
      <c r="I67" s="3"/>
      <c r="J67" s="3"/>
      <c r="K67" s="5"/>
      <c r="L67" s="5"/>
      <c r="M67" s="3"/>
      <c r="N67" s="3"/>
      <c r="O67" s="4" t="str">
        <f t="shared" ca="1" si="1"/>
        <v/>
      </c>
      <c r="P67" s="3"/>
    </row>
    <row r="68" spans="1:16" ht="26.1" customHeight="1">
      <c r="A68" s="18"/>
      <c r="B68" s="18"/>
      <c r="C68" s="18"/>
      <c r="D68" s="18"/>
      <c r="E68" s="3"/>
      <c r="F68" s="3"/>
      <c r="G68" s="3"/>
      <c r="H68" s="3"/>
      <c r="I68" s="3"/>
      <c r="J68" s="3"/>
      <c r="K68" s="5"/>
      <c r="L68" s="5"/>
      <c r="M68" s="3"/>
      <c r="N68" s="3"/>
      <c r="O68" s="4" t="str">
        <f t="shared" ca="1" si="1"/>
        <v/>
      </c>
      <c r="P68" s="3"/>
    </row>
    <row r="69" spans="1:16" ht="26.1" customHeight="1">
      <c r="A69" s="18"/>
      <c r="B69" s="18"/>
      <c r="C69" s="18"/>
      <c r="D69" s="18"/>
      <c r="E69" s="3"/>
      <c r="F69" s="3"/>
      <c r="G69" s="3"/>
      <c r="H69" s="3"/>
      <c r="I69" s="3"/>
      <c r="J69" s="3"/>
      <c r="K69" s="5"/>
      <c r="L69" s="5"/>
      <c r="M69" s="3"/>
      <c r="N69" s="3"/>
      <c r="O69" s="4" t="str">
        <f t="shared" ca="1" si="1"/>
        <v/>
      </c>
      <c r="P69" s="3"/>
    </row>
    <row r="70" spans="1:16" ht="26.1" customHeight="1">
      <c r="A70" s="18"/>
      <c r="B70" s="18"/>
      <c r="C70" s="18"/>
      <c r="D70" s="18"/>
      <c r="E70" s="3"/>
      <c r="F70" s="3"/>
      <c r="G70" s="3"/>
      <c r="H70" s="3"/>
      <c r="I70" s="3"/>
      <c r="J70" s="3"/>
      <c r="K70" s="5"/>
      <c r="L70" s="5"/>
      <c r="M70" s="3"/>
      <c r="N70" s="3"/>
      <c r="O70" s="4" t="str">
        <f t="shared" ca="1" si="1"/>
        <v/>
      </c>
      <c r="P70" s="3"/>
    </row>
    <row r="71" spans="1:16" ht="26.1" customHeight="1">
      <c r="A71" s="18"/>
      <c r="B71" s="18"/>
      <c r="C71" s="18"/>
      <c r="D71" s="18"/>
      <c r="E71" s="3"/>
      <c r="F71" s="3"/>
      <c r="G71" s="3"/>
      <c r="H71" s="3"/>
      <c r="I71" s="3"/>
      <c r="J71" s="3"/>
      <c r="K71" s="5"/>
      <c r="L71" s="5"/>
      <c r="M71" s="3"/>
      <c r="N71" s="3"/>
      <c r="O71" s="4" t="str">
        <f t="shared" ref="O71:O106" ca="1" si="2">IF(E71="","",IF(ISNUMBER(K71),IF(J71="Completed",0,MAX(0,TODAY()-K71)),""))</f>
        <v/>
      </c>
      <c r="P71" s="3"/>
    </row>
    <row r="72" spans="1:16" ht="26.1" customHeight="1">
      <c r="A72" s="18"/>
      <c r="B72" s="18"/>
      <c r="C72" s="18"/>
      <c r="D72" s="18"/>
      <c r="E72" s="3"/>
      <c r="F72" s="3"/>
      <c r="G72" s="3"/>
      <c r="H72" s="3"/>
      <c r="I72" s="3"/>
      <c r="J72" s="3"/>
      <c r="K72" s="5"/>
      <c r="L72" s="5"/>
      <c r="M72" s="3"/>
      <c r="N72" s="3"/>
      <c r="O72" s="4" t="str">
        <f t="shared" ca="1" si="2"/>
        <v/>
      </c>
      <c r="P72" s="3"/>
    </row>
    <row r="73" spans="1:16" ht="26.1" customHeight="1">
      <c r="A73" s="18"/>
      <c r="B73" s="18"/>
      <c r="C73" s="18"/>
      <c r="D73" s="18"/>
      <c r="E73" s="3"/>
      <c r="F73" s="3"/>
      <c r="G73" s="3"/>
      <c r="H73" s="3"/>
      <c r="I73" s="3"/>
      <c r="J73" s="3"/>
      <c r="K73" s="5"/>
      <c r="L73" s="5"/>
      <c r="M73" s="3"/>
      <c r="N73" s="3"/>
      <c r="O73" s="4" t="str">
        <f t="shared" ca="1" si="2"/>
        <v/>
      </c>
      <c r="P73" s="3"/>
    </row>
    <row r="74" spans="1:16" ht="26.1" customHeight="1">
      <c r="A74" s="18"/>
      <c r="B74" s="18"/>
      <c r="C74" s="18"/>
      <c r="D74" s="18"/>
      <c r="E74" s="3"/>
      <c r="F74" s="3"/>
      <c r="G74" s="3"/>
      <c r="H74" s="3"/>
      <c r="I74" s="3"/>
      <c r="J74" s="3"/>
      <c r="K74" s="5"/>
      <c r="L74" s="5"/>
      <c r="M74" s="3"/>
      <c r="N74" s="3"/>
      <c r="O74" s="4" t="str">
        <f t="shared" ca="1" si="2"/>
        <v/>
      </c>
      <c r="P74" s="3"/>
    </row>
    <row r="75" spans="1:16" ht="26.1" customHeight="1">
      <c r="A75" s="18"/>
      <c r="B75" s="18"/>
      <c r="C75" s="18"/>
      <c r="D75" s="18"/>
      <c r="E75" s="3"/>
      <c r="F75" s="3"/>
      <c r="G75" s="3"/>
      <c r="H75" s="3"/>
      <c r="I75" s="3"/>
      <c r="J75" s="3"/>
      <c r="K75" s="5"/>
      <c r="L75" s="5"/>
      <c r="M75" s="3"/>
      <c r="N75" s="3"/>
      <c r="O75" s="4" t="str">
        <f t="shared" ca="1" si="2"/>
        <v/>
      </c>
      <c r="P75" s="3"/>
    </row>
    <row r="76" spans="1:16" ht="26.1" customHeight="1">
      <c r="A76" s="18"/>
      <c r="B76" s="18"/>
      <c r="C76" s="18"/>
      <c r="D76" s="18"/>
      <c r="E76" s="3"/>
      <c r="F76" s="3"/>
      <c r="G76" s="3"/>
      <c r="H76" s="3"/>
      <c r="I76" s="3"/>
      <c r="J76" s="3"/>
      <c r="K76" s="5"/>
      <c r="L76" s="5"/>
      <c r="M76" s="3"/>
      <c r="N76" s="3"/>
      <c r="O76" s="4" t="str">
        <f t="shared" ca="1" si="2"/>
        <v/>
      </c>
      <c r="P76" s="3"/>
    </row>
    <row r="77" spans="1:16" ht="26.1" customHeight="1">
      <c r="A77" s="18"/>
      <c r="B77" s="18"/>
      <c r="C77" s="18"/>
      <c r="D77" s="18"/>
      <c r="E77" s="3"/>
      <c r="F77" s="3"/>
      <c r="G77" s="3"/>
      <c r="H77" s="3"/>
      <c r="I77" s="3"/>
      <c r="J77" s="3"/>
      <c r="K77" s="5"/>
      <c r="L77" s="5"/>
      <c r="M77" s="3"/>
      <c r="N77" s="3"/>
      <c r="O77" s="4" t="str">
        <f t="shared" ca="1" si="2"/>
        <v/>
      </c>
      <c r="P77" s="3"/>
    </row>
    <row r="78" spans="1:16" ht="26.1" customHeight="1">
      <c r="A78" s="18"/>
      <c r="B78" s="18"/>
      <c r="C78" s="18"/>
      <c r="D78" s="18"/>
      <c r="E78" s="3"/>
      <c r="F78" s="3"/>
      <c r="G78" s="3"/>
      <c r="H78" s="3"/>
      <c r="I78" s="3"/>
      <c r="J78" s="3"/>
      <c r="K78" s="5"/>
      <c r="L78" s="5"/>
      <c r="M78" s="3"/>
      <c r="N78" s="3"/>
      <c r="O78" s="4" t="str">
        <f t="shared" ca="1" si="2"/>
        <v/>
      </c>
      <c r="P78" s="3"/>
    </row>
    <row r="79" spans="1:16" ht="26.1" customHeight="1">
      <c r="A79" s="18"/>
      <c r="B79" s="18"/>
      <c r="C79" s="18"/>
      <c r="D79" s="18"/>
      <c r="E79" s="3"/>
      <c r="F79" s="3"/>
      <c r="G79" s="3"/>
      <c r="H79" s="3"/>
      <c r="I79" s="3"/>
      <c r="J79" s="3"/>
      <c r="K79" s="5"/>
      <c r="L79" s="5"/>
      <c r="M79" s="3"/>
      <c r="N79" s="3"/>
      <c r="O79" s="4" t="str">
        <f t="shared" ca="1" si="2"/>
        <v/>
      </c>
      <c r="P79" s="3"/>
    </row>
    <row r="80" spans="1:16" ht="26.1" customHeight="1">
      <c r="A80" s="18"/>
      <c r="B80" s="18"/>
      <c r="C80" s="18"/>
      <c r="D80" s="18"/>
      <c r="E80" s="3"/>
      <c r="F80" s="3"/>
      <c r="G80" s="3"/>
      <c r="H80" s="3"/>
      <c r="I80" s="3"/>
      <c r="J80" s="3"/>
      <c r="K80" s="5"/>
      <c r="L80" s="5"/>
      <c r="M80" s="3"/>
      <c r="N80" s="3"/>
      <c r="O80" s="4" t="str">
        <f t="shared" ca="1" si="2"/>
        <v/>
      </c>
      <c r="P80" s="3"/>
    </row>
    <row r="81" spans="1:16" ht="26.1" customHeight="1">
      <c r="A81" s="18"/>
      <c r="B81" s="18"/>
      <c r="C81" s="18"/>
      <c r="D81" s="18"/>
      <c r="E81" s="3"/>
      <c r="F81" s="3"/>
      <c r="G81" s="3"/>
      <c r="H81" s="3"/>
      <c r="I81" s="3"/>
      <c r="J81" s="3"/>
      <c r="K81" s="5"/>
      <c r="L81" s="5"/>
      <c r="M81" s="3"/>
      <c r="N81" s="3"/>
      <c r="O81" s="4" t="str">
        <f t="shared" ca="1" si="2"/>
        <v/>
      </c>
      <c r="P81" s="3"/>
    </row>
    <row r="82" spans="1:16" ht="26.1" customHeight="1">
      <c r="A82" s="18"/>
      <c r="B82" s="18"/>
      <c r="C82" s="18"/>
      <c r="D82" s="18"/>
      <c r="E82" s="3"/>
      <c r="F82" s="3"/>
      <c r="G82" s="3"/>
      <c r="H82" s="3"/>
      <c r="I82" s="3"/>
      <c r="J82" s="3"/>
      <c r="K82" s="5"/>
      <c r="L82" s="5"/>
      <c r="M82" s="3"/>
      <c r="N82" s="3"/>
      <c r="O82" s="4" t="str">
        <f t="shared" ca="1" si="2"/>
        <v/>
      </c>
      <c r="P82" s="3"/>
    </row>
    <row r="83" spans="1:16" ht="26.1" customHeight="1">
      <c r="A83" s="18"/>
      <c r="B83" s="18"/>
      <c r="C83" s="18"/>
      <c r="D83" s="18"/>
      <c r="E83" s="3"/>
      <c r="F83" s="3"/>
      <c r="G83" s="3"/>
      <c r="H83" s="3"/>
      <c r="I83" s="3"/>
      <c r="J83" s="3"/>
      <c r="K83" s="5"/>
      <c r="L83" s="5"/>
      <c r="M83" s="3"/>
      <c r="N83" s="3"/>
      <c r="O83" s="4" t="str">
        <f t="shared" ca="1" si="2"/>
        <v/>
      </c>
      <c r="P83" s="3"/>
    </row>
    <row r="84" spans="1:16" ht="26.1" customHeight="1">
      <c r="A84" s="18"/>
      <c r="B84" s="18"/>
      <c r="C84" s="18"/>
      <c r="D84" s="18"/>
      <c r="E84" s="3"/>
      <c r="F84" s="3"/>
      <c r="G84" s="3"/>
      <c r="H84" s="3"/>
      <c r="I84" s="3"/>
      <c r="J84" s="3"/>
      <c r="K84" s="5"/>
      <c r="L84" s="5"/>
      <c r="M84" s="3"/>
      <c r="N84" s="3"/>
      <c r="O84" s="4" t="str">
        <f t="shared" ca="1" si="2"/>
        <v/>
      </c>
      <c r="P84" s="3"/>
    </row>
    <row r="85" spans="1:16" ht="26.1" customHeight="1">
      <c r="A85" s="18"/>
      <c r="B85" s="18"/>
      <c r="C85" s="18"/>
      <c r="D85" s="18"/>
      <c r="E85" s="3"/>
      <c r="F85" s="3"/>
      <c r="G85" s="3"/>
      <c r="H85" s="3"/>
      <c r="I85" s="3"/>
      <c r="J85" s="3"/>
      <c r="K85" s="5"/>
      <c r="L85" s="5"/>
      <c r="M85" s="3"/>
      <c r="N85" s="3"/>
      <c r="O85" s="4" t="str">
        <f t="shared" ca="1" si="2"/>
        <v/>
      </c>
      <c r="P85" s="3"/>
    </row>
    <row r="86" spans="1:16" ht="26.1" customHeight="1">
      <c r="A86" s="18"/>
      <c r="B86" s="18"/>
      <c r="C86" s="18"/>
      <c r="D86" s="18"/>
      <c r="E86" s="3"/>
      <c r="F86" s="3"/>
      <c r="G86" s="3"/>
      <c r="H86" s="3"/>
      <c r="I86" s="3"/>
      <c r="J86" s="3"/>
      <c r="K86" s="5"/>
      <c r="L86" s="5"/>
      <c r="M86" s="3"/>
      <c r="N86" s="3"/>
      <c r="O86" s="4" t="str">
        <f t="shared" ca="1" si="2"/>
        <v/>
      </c>
      <c r="P86" s="3"/>
    </row>
    <row r="87" spans="1:16" ht="26.1" customHeight="1">
      <c r="A87" s="18"/>
      <c r="B87" s="18"/>
      <c r="C87" s="18"/>
      <c r="D87" s="18"/>
      <c r="E87" s="3"/>
      <c r="F87" s="3"/>
      <c r="G87" s="3"/>
      <c r="H87" s="3"/>
      <c r="I87" s="3"/>
      <c r="J87" s="3"/>
      <c r="K87" s="5"/>
      <c r="L87" s="5"/>
      <c r="M87" s="3"/>
      <c r="N87" s="3"/>
      <c r="O87" s="4" t="str">
        <f t="shared" ca="1" si="2"/>
        <v/>
      </c>
      <c r="P87" s="3"/>
    </row>
    <row r="88" spans="1:16" ht="26.1" customHeight="1">
      <c r="A88" s="18"/>
      <c r="B88" s="18"/>
      <c r="C88" s="18"/>
      <c r="D88" s="18"/>
      <c r="E88" s="3"/>
      <c r="F88" s="3"/>
      <c r="G88" s="3"/>
      <c r="H88" s="3"/>
      <c r="I88" s="3"/>
      <c r="J88" s="3"/>
      <c r="K88" s="5"/>
      <c r="L88" s="5"/>
      <c r="M88" s="3"/>
      <c r="N88" s="3"/>
      <c r="O88" s="4" t="str">
        <f t="shared" ca="1" si="2"/>
        <v/>
      </c>
      <c r="P88" s="3"/>
    </row>
    <row r="89" spans="1:16" ht="26.1" customHeight="1">
      <c r="A89" s="18"/>
      <c r="B89" s="18"/>
      <c r="C89" s="18"/>
      <c r="D89" s="18"/>
      <c r="E89" s="3"/>
      <c r="F89" s="3"/>
      <c r="G89" s="3"/>
      <c r="H89" s="3"/>
      <c r="I89" s="3"/>
      <c r="J89" s="3"/>
      <c r="K89" s="5"/>
      <c r="L89" s="5"/>
      <c r="M89" s="3"/>
      <c r="N89" s="3"/>
      <c r="O89" s="4" t="str">
        <f t="shared" ca="1" si="2"/>
        <v/>
      </c>
      <c r="P89" s="3"/>
    </row>
    <row r="90" spans="1:16" ht="26.1" customHeight="1">
      <c r="A90" s="18"/>
      <c r="B90" s="18"/>
      <c r="C90" s="18"/>
      <c r="D90" s="18"/>
      <c r="E90" s="3"/>
      <c r="F90" s="3"/>
      <c r="G90" s="3"/>
      <c r="H90" s="3"/>
      <c r="I90" s="3"/>
      <c r="J90" s="3"/>
      <c r="K90" s="5"/>
      <c r="L90" s="5"/>
      <c r="M90" s="3"/>
      <c r="N90" s="3"/>
      <c r="O90" s="4" t="str">
        <f t="shared" ca="1" si="2"/>
        <v/>
      </c>
      <c r="P90" s="3"/>
    </row>
    <row r="91" spans="1:16" ht="26.1" customHeight="1">
      <c r="A91" s="18"/>
      <c r="B91" s="18"/>
      <c r="C91" s="18"/>
      <c r="D91" s="18"/>
      <c r="E91" s="3"/>
      <c r="F91" s="3"/>
      <c r="G91" s="3"/>
      <c r="H91" s="3"/>
      <c r="I91" s="3"/>
      <c r="J91" s="3"/>
      <c r="K91" s="5"/>
      <c r="L91" s="5"/>
      <c r="M91" s="3"/>
      <c r="N91" s="3"/>
      <c r="O91" s="4" t="str">
        <f t="shared" ca="1" si="2"/>
        <v/>
      </c>
      <c r="P91" s="3"/>
    </row>
    <row r="92" spans="1:16" ht="26.1" customHeight="1">
      <c r="A92" s="18"/>
      <c r="B92" s="18"/>
      <c r="C92" s="18"/>
      <c r="D92" s="18"/>
      <c r="E92" s="3"/>
      <c r="F92" s="3"/>
      <c r="G92" s="3"/>
      <c r="H92" s="3"/>
      <c r="I92" s="3"/>
      <c r="J92" s="3"/>
      <c r="K92" s="5"/>
      <c r="L92" s="5"/>
      <c r="M92" s="3"/>
      <c r="N92" s="3"/>
      <c r="O92" s="4" t="str">
        <f t="shared" ca="1" si="2"/>
        <v/>
      </c>
      <c r="P92" s="3"/>
    </row>
    <row r="93" spans="1:16" ht="26.1" customHeight="1">
      <c r="A93" s="18"/>
      <c r="B93" s="18"/>
      <c r="C93" s="18"/>
      <c r="D93" s="18"/>
      <c r="E93" s="3"/>
      <c r="F93" s="3"/>
      <c r="G93" s="3"/>
      <c r="H93" s="3"/>
      <c r="I93" s="3"/>
      <c r="J93" s="3"/>
      <c r="K93" s="5"/>
      <c r="L93" s="5"/>
      <c r="M93" s="3"/>
      <c r="N93" s="3"/>
      <c r="O93" s="4" t="str">
        <f t="shared" ca="1" si="2"/>
        <v/>
      </c>
      <c r="P93" s="3"/>
    </row>
    <row r="94" spans="1:16" ht="26.1" customHeight="1">
      <c r="A94" s="18"/>
      <c r="B94" s="18"/>
      <c r="C94" s="18"/>
      <c r="D94" s="18"/>
      <c r="E94" s="3"/>
      <c r="F94" s="3"/>
      <c r="G94" s="3"/>
      <c r="H94" s="3"/>
      <c r="I94" s="3"/>
      <c r="J94" s="3"/>
      <c r="K94" s="5"/>
      <c r="L94" s="5"/>
      <c r="M94" s="3"/>
      <c r="N94" s="3"/>
      <c r="O94" s="4" t="str">
        <f t="shared" ca="1" si="2"/>
        <v/>
      </c>
      <c r="P94" s="3"/>
    </row>
    <row r="95" spans="1:16" ht="26.1" customHeight="1">
      <c r="A95" s="18"/>
      <c r="B95" s="18"/>
      <c r="C95" s="18"/>
      <c r="D95" s="18"/>
      <c r="E95" s="3"/>
      <c r="F95" s="3"/>
      <c r="G95" s="3"/>
      <c r="H95" s="3"/>
      <c r="I95" s="3"/>
      <c r="J95" s="3"/>
      <c r="K95" s="5"/>
      <c r="L95" s="5"/>
      <c r="M95" s="3"/>
      <c r="N95" s="3"/>
      <c r="O95" s="4" t="str">
        <f t="shared" ca="1" si="2"/>
        <v/>
      </c>
      <c r="P95" s="3"/>
    </row>
    <row r="96" spans="1:16" ht="26.1" customHeight="1">
      <c r="A96" s="18"/>
      <c r="B96" s="18"/>
      <c r="C96" s="18"/>
      <c r="D96" s="18"/>
      <c r="E96" s="3"/>
      <c r="F96" s="3"/>
      <c r="G96" s="3"/>
      <c r="H96" s="3"/>
      <c r="I96" s="3"/>
      <c r="J96" s="3"/>
      <c r="K96" s="5"/>
      <c r="L96" s="5"/>
      <c r="M96" s="3"/>
      <c r="N96" s="3"/>
      <c r="O96" s="4" t="str">
        <f t="shared" ca="1" si="2"/>
        <v/>
      </c>
      <c r="P96" s="3"/>
    </row>
    <row r="97" spans="1:16" ht="26.1" customHeight="1">
      <c r="A97" s="18"/>
      <c r="B97" s="18"/>
      <c r="C97" s="18"/>
      <c r="D97" s="18"/>
      <c r="E97" s="3"/>
      <c r="F97" s="3"/>
      <c r="G97" s="3"/>
      <c r="H97" s="3"/>
      <c r="I97" s="3"/>
      <c r="J97" s="3"/>
      <c r="K97" s="5"/>
      <c r="L97" s="5"/>
      <c r="M97" s="3"/>
      <c r="N97" s="3"/>
      <c r="O97" s="4" t="str">
        <f t="shared" ca="1" si="2"/>
        <v/>
      </c>
      <c r="P97" s="3"/>
    </row>
    <row r="98" spans="1:16" ht="26.1" customHeight="1">
      <c r="A98" s="18"/>
      <c r="B98" s="18"/>
      <c r="C98" s="18"/>
      <c r="D98" s="18"/>
      <c r="E98" s="3"/>
      <c r="F98" s="3"/>
      <c r="G98" s="3"/>
      <c r="H98" s="3"/>
      <c r="I98" s="3"/>
      <c r="J98" s="3"/>
      <c r="K98" s="5"/>
      <c r="L98" s="5"/>
      <c r="M98" s="3"/>
      <c r="N98" s="3"/>
      <c r="O98" s="4" t="str">
        <f t="shared" ca="1" si="2"/>
        <v/>
      </c>
      <c r="P98" s="3"/>
    </row>
    <row r="99" spans="1:16" ht="26.1" customHeight="1">
      <c r="A99" s="18"/>
      <c r="B99" s="18"/>
      <c r="C99" s="18"/>
      <c r="D99" s="18"/>
      <c r="E99" s="3"/>
      <c r="F99" s="3"/>
      <c r="G99" s="3"/>
      <c r="H99" s="3"/>
      <c r="I99" s="3"/>
      <c r="J99" s="3"/>
      <c r="K99" s="5"/>
      <c r="L99" s="5"/>
      <c r="M99" s="3"/>
      <c r="N99" s="3"/>
      <c r="O99" s="4" t="str">
        <f t="shared" ca="1" si="2"/>
        <v/>
      </c>
      <c r="P99" s="3"/>
    </row>
    <row r="100" spans="1:16" ht="26.1" customHeight="1">
      <c r="A100" s="18"/>
      <c r="B100" s="18"/>
      <c r="C100" s="18"/>
      <c r="D100" s="18"/>
      <c r="E100" s="3"/>
      <c r="F100" s="3"/>
      <c r="G100" s="3"/>
      <c r="H100" s="3"/>
      <c r="I100" s="3"/>
      <c r="J100" s="3"/>
      <c r="K100" s="5"/>
      <c r="L100" s="5"/>
      <c r="M100" s="3"/>
      <c r="N100" s="3"/>
      <c r="O100" s="4" t="str">
        <f t="shared" ca="1" si="2"/>
        <v/>
      </c>
      <c r="P100" s="3"/>
    </row>
    <row r="101" spans="1:16" ht="26.1" customHeight="1">
      <c r="A101" s="18"/>
      <c r="B101" s="18"/>
      <c r="C101" s="18"/>
      <c r="D101" s="18"/>
      <c r="E101" s="3"/>
      <c r="F101" s="3"/>
      <c r="G101" s="3"/>
      <c r="H101" s="3"/>
      <c r="I101" s="3"/>
      <c r="J101" s="3"/>
      <c r="K101" s="5"/>
      <c r="L101" s="5"/>
      <c r="M101" s="3"/>
      <c r="N101" s="3"/>
      <c r="O101" s="4" t="str">
        <f t="shared" ca="1" si="2"/>
        <v/>
      </c>
      <c r="P101" s="3"/>
    </row>
    <row r="102" spans="1:16" ht="26.1" customHeight="1">
      <c r="A102" s="18"/>
      <c r="B102" s="18"/>
      <c r="C102" s="18"/>
      <c r="D102" s="18"/>
      <c r="E102" s="3"/>
      <c r="F102" s="3"/>
      <c r="G102" s="3"/>
      <c r="H102" s="3"/>
      <c r="I102" s="3"/>
      <c r="J102" s="3"/>
      <c r="K102" s="5"/>
      <c r="L102" s="5"/>
      <c r="M102" s="3"/>
      <c r="N102" s="3"/>
      <c r="O102" s="4" t="str">
        <f t="shared" ca="1" si="2"/>
        <v/>
      </c>
      <c r="P102" s="3"/>
    </row>
    <row r="103" spans="1:16" ht="26.1" customHeight="1">
      <c r="A103" s="18"/>
      <c r="B103" s="18"/>
      <c r="C103" s="18"/>
      <c r="D103" s="18"/>
      <c r="E103" s="3"/>
      <c r="F103" s="3"/>
      <c r="G103" s="3"/>
      <c r="H103" s="3"/>
      <c r="I103" s="3"/>
      <c r="J103" s="3"/>
      <c r="K103" s="5"/>
      <c r="L103" s="5"/>
      <c r="M103" s="3"/>
      <c r="N103" s="3"/>
      <c r="O103" s="4" t="str">
        <f t="shared" ca="1" si="2"/>
        <v/>
      </c>
      <c r="P103" s="3"/>
    </row>
    <row r="104" spans="1:16" ht="26.1" customHeight="1">
      <c r="A104" s="18"/>
      <c r="B104" s="18"/>
      <c r="C104" s="18"/>
      <c r="D104" s="18"/>
      <c r="E104" s="3"/>
      <c r="F104" s="3"/>
      <c r="G104" s="3"/>
      <c r="H104" s="3"/>
      <c r="I104" s="3"/>
      <c r="J104" s="3"/>
      <c r="K104" s="5"/>
      <c r="L104" s="5"/>
      <c r="M104" s="3"/>
      <c r="N104" s="3"/>
      <c r="O104" s="4" t="str">
        <f t="shared" ca="1" si="2"/>
        <v/>
      </c>
      <c r="P104" s="3"/>
    </row>
    <row r="105" spans="1:16" ht="26.1" customHeight="1">
      <c r="A105" s="18"/>
      <c r="B105" s="18"/>
      <c r="C105" s="18"/>
      <c r="D105" s="18"/>
      <c r="E105" s="3"/>
      <c r="F105" s="3"/>
      <c r="G105" s="3"/>
      <c r="H105" s="3"/>
      <c r="I105" s="3"/>
      <c r="J105" s="3"/>
      <c r="K105" s="5"/>
      <c r="L105" s="5"/>
      <c r="M105" s="3"/>
      <c r="N105" s="3"/>
      <c r="O105" s="4" t="str">
        <f t="shared" ca="1" si="2"/>
        <v/>
      </c>
      <c r="P105" s="3"/>
    </row>
    <row r="106" spans="1:16" ht="26.1" customHeight="1">
      <c r="A106" s="18"/>
      <c r="B106" s="18"/>
      <c r="C106" s="18"/>
      <c r="D106" s="18"/>
      <c r="E106" s="3"/>
      <c r="F106" s="3"/>
      <c r="G106" s="3"/>
      <c r="H106" s="3"/>
      <c r="I106" s="3"/>
      <c r="J106" s="3"/>
      <c r="K106" s="5"/>
      <c r="L106" s="5"/>
      <c r="M106" s="3"/>
      <c r="N106" s="3"/>
      <c r="O106" s="4" t="str">
        <f t="shared" ca="1" si="2"/>
        <v/>
      </c>
      <c r="P106" s="3"/>
    </row>
    <row r="107" spans="1:16">
      <c r="A107" s="18"/>
      <c r="B107" s="18"/>
      <c r="C107" s="18"/>
      <c r="D107" s="18"/>
    </row>
    <row r="108" spans="1:16">
      <c r="A108" s="18"/>
      <c r="B108" s="18"/>
      <c r="C108" s="18"/>
      <c r="D108" s="18"/>
    </row>
    <row r="109" spans="1:16">
      <c r="A109" s="18"/>
      <c r="B109" s="18"/>
      <c r="C109" s="18"/>
      <c r="D109" s="18"/>
    </row>
    <row r="110" spans="1:16">
      <c r="A110" s="18"/>
      <c r="B110" s="18"/>
      <c r="C110" s="18"/>
      <c r="D110" s="18"/>
    </row>
  </sheetData>
  <mergeCells count="1">
    <mergeCell ref="E5:P5"/>
  </mergeCells>
  <phoneticPr fontId="36" type="noConversion"/>
  <conditionalFormatting sqref="E7:E106">
    <cfRule type="expression" dxfId="3" priority="2">
      <formula>AND(E7&lt;&gt;"",COUNTIFS($E$7:$E$106,E7)&gt;1)</formula>
    </cfRule>
  </conditionalFormatting>
  <conditionalFormatting sqref="N7:N106">
    <cfRule type="cellIs" dxfId="2" priority="3" operator="equal">
      <formula>"Pending validation"</formula>
    </cfRule>
    <cfRule type="cellIs" dxfId="1" priority="4" operator="equal">
      <formula>"Validated"</formula>
    </cfRule>
    <cfRule type="cellIs" dxfId="0" priority="5" operator="equal">
      <formula>"Rejected"</formula>
    </cfRule>
  </conditionalFormatting>
  <conditionalFormatting sqref="O7:O106">
    <cfRule type="colorScale" priority="1">
      <colorScale>
        <cfvo type="min"/>
        <cfvo type="max"/>
        <color rgb="FFFFFFFF"/>
        <color rgb="FFFECACA"/>
      </colorScale>
    </cfRule>
  </conditionalFormatting>
  <dataValidations count="4">
    <dataValidation type="list" allowBlank="1" showErrorMessage="1" errorTitle="Select an allowed option" error="Choose a dropdown value or leave an unknown input blank." sqref="I7:I106" xr:uid="{00000000-0002-0000-0400-000000000000}">
      <formula1>"Pending approval,Approved,Rejected"</formula1>
    </dataValidation>
    <dataValidation type="list" allowBlank="1" showErrorMessage="1" errorTitle="Select an allowed option" error="Choose a dropdown value or leave an unknown input blank." sqref="J7:J106" xr:uid="{00000000-0002-0000-0400-000001000000}">
      <formula1>"Proposed,Open,In progress,Blocked,Completed"</formula1>
    </dataValidation>
    <dataValidation type="list" allowBlank="1" showErrorMessage="1" errorTitle="Select an allowed option" error="Choose a dropdown value or leave an unknown input blank." sqref="N7:N106" xr:uid="{00000000-0002-0000-0400-000002000000}">
      <formula1>"Pending validation,Validated,Rejected"</formula1>
    </dataValidation>
    <dataValidation type="list" allowBlank="1" showErrorMessage="1" errorTitle="Select an allowed option" error="Choose a dropdown value or leave an unknown input blank." sqref="F7:F106" xr:uid="{00000000-0002-0000-0400-000003000000}">
      <formula1>RiskIDs</formula1>
    </dataValidation>
  </dataValidation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2F47"/>
  </sheetPr>
  <dimension ref="A1:P110"/>
  <sheetViews>
    <sheetView showGridLines="0" showRowColHeaders="0" workbookViewId="0">
      <pane xSplit="4" topLeftCell="E1" activePane="topRight" state="frozen"/>
      <selection pane="topRight"/>
    </sheetView>
  </sheetViews>
  <sheetFormatPr defaultRowHeight="14.25"/>
  <cols>
    <col min="1" max="4" width="7.25" customWidth="1"/>
    <col min="5" max="5" width="13" customWidth="1"/>
    <col min="6" max="8" width="29" customWidth="1"/>
    <col min="9" max="16" width="13" customWidth="1"/>
  </cols>
  <sheetData>
    <row r="1" spans="1:16" ht="28.5" customHeight="1">
      <c r="A1" s="18"/>
      <c r="B1" s="18"/>
      <c r="C1" s="18"/>
      <c r="D1" s="18"/>
      <c r="E1" s="16"/>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7"/>
      <c r="F3" s="17"/>
      <c r="G3" s="17"/>
      <c r="H3" s="17"/>
      <c r="I3" s="17"/>
      <c r="J3" s="17"/>
      <c r="K3" s="17"/>
      <c r="L3" s="17"/>
      <c r="M3" s="17"/>
      <c r="N3" s="17"/>
      <c r="O3" s="17"/>
      <c r="P3" s="17"/>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44" t="s">
        <v>28</v>
      </c>
      <c r="F5" s="44"/>
      <c r="G5" s="44"/>
      <c r="H5" s="44"/>
      <c r="I5" s="44"/>
      <c r="J5" s="44"/>
      <c r="K5" s="44"/>
      <c r="L5" s="44"/>
      <c r="M5" s="44"/>
      <c r="N5" s="44"/>
      <c r="O5" s="44"/>
      <c r="P5" s="44"/>
    </row>
    <row r="6" spans="1:16" ht="26.1" customHeight="1">
      <c r="A6" s="18"/>
      <c r="B6" s="18"/>
      <c r="C6" s="18"/>
      <c r="D6" s="18"/>
      <c r="E6" s="71" t="s">
        <v>129</v>
      </c>
      <c r="F6" s="71"/>
      <c r="G6" s="71"/>
      <c r="H6" s="71"/>
      <c r="I6" s="71"/>
      <c r="J6" s="71"/>
      <c r="K6" s="71"/>
      <c r="L6" s="71"/>
      <c r="M6" s="71"/>
      <c r="N6" s="71"/>
      <c r="O6" s="71"/>
      <c r="P6" s="71"/>
    </row>
    <row r="7" spans="1:16" ht="26.1" customHeight="1">
      <c r="A7" s="18"/>
      <c r="B7" s="18"/>
      <c r="C7" s="18"/>
      <c r="D7" s="18"/>
      <c r="E7" s="71"/>
      <c r="F7" s="71"/>
      <c r="G7" s="71"/>
      <c r="H7" s="71"/>
      <c r="I7" s="71"/>
      <c r="J7" s="71"/>
      <c r="K7" s="71"/>
      <c r="L7" s="71"/>
      <c r="M7" s="71"/>
      <c r="N7" s="71"/>
      <c r="O7" s="71"/>
      <c r="P7" s="71"/>
    </row>
    <row r="8" spans="1:16" ht="26.1" customHeight="1">
      <c r="A8" s="18"/>
      <c r="B8" s="18"/>
      <c r="C8" s="18"/>
      <c r="D8" s="18"/>
      <c r="E8" s="7" t="s">
        <v>130</v>
      </c>
      <c r="F8" s="7" t="s">
        <v>131</v>
      </c>
      <c r="G8" s="7" t="s">
        <v>132</v>
      </c>
      <c r="H8" s="7" t="s">
        <v>133</v>
      </c>
      <c r="I8" s="1"/>
      <c r="J8" s="1"/>
      <c r="K8" s="1"/>
      <c r="L8" s="1"/>
      <c r="M8" s="1"/>
      <c r="N8" s="1"/>
      <c r="O8" s="1"/>
      <c r="P8" s="1"/>
    </row>
    <row r="9" spans="1:16" ht="38.1" customHeight="1">
      <c r="A9" s="18"/>
      <c r="B9" s="18"/>
      <c r="C9" s="18"/>
      <c r="D9" s="18"/>
      <c r="E9" s="8">
        <v>1</v>
      </c>
      <c r="F9" s="8" t="s">
        <v>134</v>
      </c>
      <c r="G9" s="8" t="s">
        <v>135</v>
      </c>
      <c r="H9" s="8" t="s">
        <v>136</v>
      </c>
      <c r="I9" s="1"/>
      <c r="J9" s="1"/>
      <c r="K9" s="1"/>
      <c r="L9" s="1"/>
      <c r="M9" s="1"/>
      <c r="N9" s="1"/>
      <c r="O9" s="1"/>
      <c r="P9" s="1"/>
    </row>
    <row r="10" spans="1:16" ht="38.1" customHeight="1">
      <c r="A10" s="18"/>
      <c r="B10" s="18"/>
      <c r="C10" s="18"/>
      <c r="D10" s="18"/>
      <c r="E10" s="8">
        <v>2</v>
      </c>
      <c r="F10" s="8" t="s">
        <v>137</v>
      </c>
      <c r="G10" s="8" t="s">
        <v>138</v>
      </c>
      <c r="H10" s="8" t="s">
        <v>139</v>
      </c>
      <c r="I10" s="1"/>
      <c r="J10" s="1"/>
      <c r="K10" s="1"/>
      <c r="L10" s="1"/>
      <c r="M10" s="1"/>
      <c r="N10" s="1"/>
      <c r="O10" s="1"/>
      <c r="P10" s="1"/>
    </row>
    <row r="11" spans="1:16" ht="38.1" customHeight="1">
      <c r="A11" s="18"/>
      <c r="B11" s="18"/>
      <c r="C11" s="18"/>
      <c r="D11" s="18"/>
      <c r="E11" s="8">
        <v>3</v>
      </c>
      <c r="F11" s="8" t="s">
        <v>140</v>
      </c>
      <c r="G11" s="8" t="s">
        <v>3</v>
      </c>
      <c r="H11" s="8" t="s">
        <v>141</v>
      </c>
      <c r="I11" s="1"/>
      <c r="J11" s="1"/>
      <c r="K11" s="1"/>
      <c r="L11" s="1"/>
      <c r="M11" s="1"/>
      <c r="N11" s="1"/>
      <c r="O11" s="1"/>
      <c r="P11" s="1"/>
    </row>
    <row r="12" spans="1:16" ht="38.1" customHeight="1">
      <c r="A12" s="18"/>
      <c r="B12" s="18"/>
      <c r="C12" s="18"/>
      <c r="D12" s="18"/>
      <c r="E12" s="8">
        <v>4</v>
      </c>
      <c r="F12" s="8" t="s">
        <v>142</v>
      </c>
      <c r="G12" s="8" t="s">
        <v>143</v>
      </c>
      <c r="H12" s="8" t="s">
        <v>144</v>
      </c>
      <c r="I12" s="1"/>
      <c r="J12" s="1"/>
      <c r="K12" s="1"/>
      <c r="L12" s="1"/>
      <c r="M12" s="1"/>
      <c r="N12" s="1"/>
      <c r="O12" s="1"/>
      <c r="P12" s="1"/>
    </row>
    <row r="13" spans="1:16" ht="38.1" customHeight="1">
      <c r="A13" s="18"/>
      <c r="B13" s="18"/>
      <c r="C13" s="18"/>
      <c r="D13" s="18"/>
      <c r="E13" s="8">
        <v>5</v>
      </c>
      <c r="F13" s="8" t="s">
        <v>145</v>
      </c>
      <c r="G13" s="8" t="s">
        <v>146</v>
      </c>
      <c r="H13" s="8" t="s">
        <v>147</v>
      </c>
      <c r="I13" s="1"/>
      <c r="J13" s="1"/>
      <c r="K13" s="1"/>
      <c r="L13" s="1"/>
      <c r="M13" s="1"/>
      <c r="N13" s="1"/>
      <c r="O13" s="1"/>
      <c r="P13" s="1"/>
    </row>
    <row r="14" spans="1:16" ht="26.1" customHeight="1">
      <c r="A14" s="18"/>
      <c r="B14" s="18"/>
      <c r="C14" s="18"/>
      <c r="D14" s="18"/>
      <c r="E14" s="1"/>
      <c r="F14" s="1"/>
      <c r="G14" s="1"/>
      <c r="H14" s="1"/>
      <c r="I14" s="1"/>
      <c r="J14" s="1"/>
      <c r="K14" s="1"/>
      <c r="L14" s="1"/>
      <c r="M14" s="1"/>
      <c r="N14" s="1"/>
      <c r="O14" s="1"/>
      <c r="P14" s="1"/>
    </row>
    <row r="15" spans="1:16" ht="26.1" customHeight="1">
      <c r="A15" s="18"/>
      <c r="B15" s="18"/>
      <c r="C15" s="18"/>
      <c r="D15" s="18"/>
      <c r="E15" s="6" t="s">
        <v>148</v>
      </c>
      <c r="F15" s="6" t="s">
        <v>149</v>
      </c>
      <c r="G15" s="6" t="s">
        <v>150</v>
      </c>
      <c r="H15" s="1"/>
      <c r="I15" s="1"/>
      <c r="J15" s="1"/>
      <c r="K15" s="1"/>
      <c r="L15" s="1"/>
      <c r="M15" s="1"/>
      <c r="N15" s="1"/>
      <c r="O15" s="1"/>
      <c r="P15" s="1"/>
    </row>
    <row r="16" spans="1:16" ht="26.1" customHeight="1">
      <c r="A16" s="18"/>
      <c r="B16" s="18"/>
      <c r="C16" s="18"/>
      <c r="D16" s="18"/>
      <c r="E16" s="1" t="s">
        <v>3</v>
      </c>
      <c r="F16" s="1">
        <v>6</v>
      </c>
      <c r="G16" s="1">
        <v>11</v>
      </c>
      <c r="H16" s="1"/>
      <c r="I16" s="1"/>
      <c r="J16" s="1"/>
      <c r="K16" s="1"/>
      <c r="L16" s="1"/>
      <c r="M16" s="1"/>
      <c r="N16" s="1"/>
      <c r="O16" s="1"/>
      <c r="P16" s="1"/>
    </row>
    <row r="17" spans="1:16" ht="26.1" customHeight="1">
      <c r="A17" s="18"/>
      <c r="B17" s="18"/>
      <c r="C17" s="18"/>
      <c r="D17" s="18"/>
      <c r="E17" s="1" t="s">
        <v>5</v>
      </c>
      <c r="F17" s="1">
        <v>12</v>
      </c>
      <c r="G17" s="1">
        <v>19</v>
      </c>
      <c r="H17" s="1"/>
      <c r="I17" s="1"/>
      <c r="J17" s="1"/>
      <c r="K17" s="1"/>
      <c r="L17" s="1"/>
      <c r="M17" s="1"/>
      <c r="N17" s="1"/>
      <c r="O17" s="1"/>
      <c r="P17" s="1"/>
    </row>
    <row r="18" spans="1:16" ht="26.1" customHeight="1">
      <c r="A18" s="18"/>
      <c r="B18" s="18"/>
      <c r="C18" s="18"/>
      <c r="D18" s="18"/>
      <c r="E18" s="1" t="s">
        <v>8</v>
      </c>
      <c r="F18" s="1">
        <v>20</v>
      </c>
      <c r="G18" s="1">
        <v>25</v>
      </c>
      <c r="H18" s="1"/>
      <c r="I18" s="1"/>
      <c r="J18" s="1"/>
      <c r="K18" s="1"/>
      <c r="L18" s="1"/>
      <c r="M18" s="1"/>
      <c r="N18" s="1"/>
      <c r="O18" s="1"/>
      <c r="P18" s="1"/>
    </row>
    <row r="19" spans="1:16" ht="26.1" customHeight="1">
      <c r="A19" s="18"/>
      <c r="B19" s="18"/>
      <c r="C19" s="18"/>
      <c r="D19" s="18"/>
      <c r="E19" s="1" t="s">
        <v>2</v>
      </c>
      <c r="F19" s="1">
        <v>1</v>
      </c>
      <c r="G19" s="1">
        <v>5</v>
      </c>
      <c r="H19" s="1"/>
      <c r="I19" s="1"/>
      <c r="J19" s="1"/>
      <c r="K19" s="1"/>
      <c r="L19" s="1"/>
      <c r="M19" s="1"/>
      <c r="N19" s="1"/>
      <c r="O19" s="1"/>
      <c r="P19" s="1"/>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1"/>
      <c r="F21" s="1"/>
      <c r="G21" s="1"/>
      <c r="H21" s="1"/>
      <c r="I21" s="1"/>
      <c r="J21" s="1"/>
      <c r="K21" s="1"/>
      <c r="L21" s="1"/>
      <c r="M21" s="1"/>
      <c r="N21" s="1"/>
      <c r="O21" s="1"/>
      <c r="P21" s="1"/>
    </row>
    <row r="22" spans="1:16" ht="26.1" customHeight="1">
      <c r="A22" s="18"/>
      <c r="B22" s="18"/>
      <c r="C22" s="18"/>
      <c r="D22" s="18"/>
      <c r="E22" s="70" t="s">
        <v>151</v>
      </c>
      <c r="F22" s="70"/>
      <c r="G22" s="70"/>
      <c r="H22" s="70"/>
      <c r="I22" s="70"/>
      <c r="J22" s="70"/>
      <c r="K22" s="70"/>
      <c r="L22" s="70"/>
      <c r="M22" s="70"/>
      <c r="N22" s="70"/>
      <c r="O22" s="70"/>
      <c r="P22" s="70"/>
    </row>
    <row r="23" spans="1:16" ht="26.1" customHeight="1">
      <c r="A23" s="18"/>
      <c r="B23" s="18"/>
      <c r="C23" s="18"/>
      <c r="D23" s="18"/>
      <c r="E23" s="70"/>
      <c r="F23" s="70"/>
      <c r="G23" s="70"/>
      <c r="H23" s="70"/>
      <c r="I23" s="70"/>
      <c r="J23" s="70"/>
      <c r="K23" s="70"/>
      <c r="L23" s="70"/>
      <c r="M23" s="70"/>
      <c r="N23" s="70"/>
      <c r="O23" s="70"/>
      <c r="P23" s="70"/>
    </row>
    <row r="24" spans="1:16" ht="26.1" customHeight="1">
      <c r="A24" s="18"/>
      <c r="B24" s="18"/>
      <c r="C24" s="18"/>
      <c r="D24" s="18"/>
      <c r="E24" s="70"/>
      <c r="F24" s="70"/>
      <c r="G24" s="70"/>
      <c r="H24" s="70"/>
      <c r="I24" s="70"/>
      <c r="J24" s="70"/>
      <c r="K24" s="70"/>
      <c r="L24" s="70"/>
      <c r="M24" s="70"/>
      <c r="N24" s="70"/>
      <c r="O24" s="70"/>
      <c r="P24" s="70"/>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70" t="s">
        <v>152</v>
      </c>
      <c r="F26" s="70"/>
      <c r="G26" s="70"/>
      <c r="H26" s="70"/>
      <c r="I26" s="70"/>
      <c r="J26" s="70"/>
      <c r="K26" s="70"/>
      <c r="L26" s="70"/>
      <c r="M26" s="70"/>
      <c r="N26" s="70"/>
      <c r="O26" s="70"/>
      <c r="P26" s="70"/>
    </row>
    <row r="27" spans="1:16" ht="26.1" customHeight="1">
      <c r="A27" s="18"/>
      <c r="B27" s="18"/>
      <c r="C27" s="18"/>
      <c r="D27" s="18"/>
      <c r="E27" s="70"/>
      <c r="F27" s="70"/>
      <c r="G27" s="70"/>
      <c r="H27" s="70"/>
      <c r="I27" s="70"/>
      <c r="J27" s="70"/>
      <c r="K27" s="70"/>
      <c r="L27" s="70"/>
      <c r="M27" s="70"/>
      <c r="N27" s="70"/>
      <c r="O27" s="70"/>
      <c r="P27" s="70"/>
    </row>
    <row r="28" spans="1:16" ht="26.1" customHeight="1">
      <c r="A28" s="18"/>
      <c r="B28" s="18"/>
      <c r="C28" s="18"/>
      <c r="D28" s="18"/>
      <c r="E28" s="70"/>
      <c r="F28" s="70"/>
      <c r="G28" s="70"/>
      <c r="H28" s="70"/>
      <c r="I28" s="70"/>
      <c r="J28" s="70"/>
      <c r="K28" s="70"/>
      <c r="L28" s="70"/>
      <c r="M28" s="70"/>
      <c r="N28" s="70"/>
      <c r="O28" s="70"/>
      <c r="P28" s="70"/>
    </row>
    <row r="29" spans="1:16" ht="26.1" customHeight="1">
      <c r="A29" s="18"/>
      <c r="B29" s="18"/>
      <c r="C29" s="18"/>
      <c r="D29" s="18"/>
      <c r="E29" s="70"/>
      <c r="F29" s="70"/>
      <c r="G29" s="70"/>
      <c r="H29" s="70"/>
      <c r="I29" s="70"/>
      <c r="J29" s="70"/>
      <c r="K29" s="70"/>
      <c r="L29" s="70"/>
      <c r="M29" s="70"/>
      <c r="N29" s="70"/>
      <c r="O29" s="70"/>
      <c r="P29" s="70"/>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70" t="s">
        <v>153</v>
      </c>
      <c r="F31" s="70"/>
      <c r="G31" s="70"/>
      <c r="H31" s="70"/>
      <c r="I31" s="70"/>
      <c r="J31" s="70"/>
      <c r="K31" s="70"/>
      <c r="L31" s="70"/>
      <c r="M31" s="70"/>
      <c r="N31" s="70"/>
      <c r="O31" s="70"/>
      <c r="P31" s="70"/>
    </row>
    <row r="32" spans="1:16" ht="26.1" customHeight="1">
      <c r="A32" s="18"/>
      <c r="B32" s="18"/>
      <c r="C32" s="18"/>
      <c r="D32" s="18"/>
      <c r="E32" s="70"/>
      <c r="F32" s="70"/>
      <c r="G32" s="70"/>
      <c r="H32" s="70"/>
      <c r="I32" s="70"/>
      <c r="J32" s="70"/>
      <c r="K32" s="70"/>
      <c r="L32" s="70"/>
      <c r="M32" s="70"/>
      <c r="N32" s="70"/>
      <c r="O32" s="70"/>
      <c r="P32" s="70"/>
    </row>
    <row r="33" spans="1:16" ht="26.1" customHeight="1">
      <c r="A33" s="18"/>
      <c r="B33" s="18"/>
      <c r="C33" s="18"/>
      <c r="D33" s="18"/>
      <c r="E33" s="70"/>
      <c r="F33" s="70"/>
      <c r="G33" s="70"/>
      <c r="H33" s="70"/>
      <c r="I33" s="70"/>
      <c r="J33" s="70"/>
      <c r="K33" s="70"/>
      <c r="L33" s="70"/>
      <c r="M33" s="70"/>
      <c r="N33" s="70"/>
      <c r="O33" s="70"/>
      <c r="P33" s="70"/>
    </row>
    <row r="34" spans="1:16" ht="26.1" customHeight="1">
      <c r="A34" s="18"/>
      <c r="B34" s="18"/>
      <c r="C34" s="18"/>
      <c r="D34" s="18"/>
      <c r="E34" s="70"/>
      <c r="F34" s="70"/>
      <c r="G34" s="70"/>
      <c r="H34" s="70"/>
      <c r="I34" s="70"/>
      <c r="J34" s="70"/>
      <c r="K34" s="70"/>
      <c r="L34" s="70"/>
      <c r="M34" s="70"/>
      <c r="N34" s="70"/>
      <c r="O34" s="70"/>
      <c r="P34" s="70"/>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1"/>
      <c r="F36" s="1"/>
      <c r="G36" s="1"/>
      <c r="H36" s="1"/>
      <c r="I36" s="1"/>
      <c r="J36" s="1"/>
      <c r="K36" s="1"/>
      <c r="L36" s="1"/>
      <c r="M36" s="1"/>
      <c r="N36" s="1"/>
      <c r="O36" s="1"/>
      <c r="P36" s="1"/>
    </row>
    <row r="37" spans="1:16" ht="26.1" customHeight="1">
      <c r="A37" s="18"/>
      <c r="B37" s="18"/>
      <c r="C37" s="18"/>
      <c r="D37" s="18"/>
      <c r="E37" s="1"/>
      <c r="F37" s="1"/>
      <c r="G37" s="1"/>
      <c r="H37" s="1"/>
      <c r="I37" s="1"/>
      <c r="J37" s="1"/>
      <c r="K37" s="1"/>
      <c r="L37" s="1"/>
      <c r="M37" s="1"/>
      <c r="N37" s="1"/>
      <c r="O37" s="1"/>
      <c r="P37" s="1"/>
    </row>
    <row r="38" spans="1:16" ht="26.1" customHeight="1">
      <c r="A38" s="18"/>
      <c r="B38" s="18"/>
      <c r="C38" s="18"/>
      <c r="D38" s="18"/>
      <c r="E38" s="1"/>
      <c r="F38" s="1"/>
      <c r="G38" s="1"/>
      <c r="H38" s="1"/>
      <c r="I38" s="1"/>
      <c r="J38" s="1"/>
      <c r="K38" s="1"/>
      <c r="L38" s="1"/>
      <c r="M38" s="1"/>
      <c r="N38" s="1"/>
      <c r="O38" s="1"/>
      <c r="P38" s="1"/>
    </row>
    <row r="39" spans="1:16">
      <c r="A39" s="18"/>
      <c r="B39" s="18"/>
      <c r="C39" s="18"/>
      <c r="D39" s="18"/>
    </row>
    <row r="40" spans="1:16">
      <c r="A40" s="18"/>
      <c r="B40" s="18"/>
      <c r="C40" s="18"/>
      <c r="D40" s="18"/>
    </row>
    <row r="41" spans="1:16">
      <c r="A41" s="18"/>
      <c r="B41" s="18"/>
      <c r="C41" s="18"/>
      <c r="D41" s="18"/>
    </row>
    <row r="42" spans="1:16">
      <c r="A42" s="18"/>
      <c r="B42" s="18"/>
      <c r="C42" s="18"/>
      <c r="D42" s="18"/>
    </row>
    <row r="43" spans="1:16">
      <c r="A43" s="18"/>
      <c r="B43" s="18"/>
      <c r="C43" s="18"/>
      <c r="D43" s="18"/>
    </row>
    <row r="44" spans="1:16">
      <c r="A44" s="18"/>
      <c r="B44" s="18"/>
      <c r="C44" s="18"/>
      <c r="D44" s="18"/>
    </row>
    <row r="45" spans="1:16">
      <c r="A45" s="18"/>
      <c r="B45" s="18"/>
      <c r="C45" s="18"/>
      <c r="D45" s="18"/>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5">
    <mergeCell ref="E22:P24"/>
    <mergeCell ref="E26:P29"/>
    <mergeCell ref="E31:P34"/>
    <mergeCell ref="E5:P5"/>
    <mergeCell ref="E6:P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02F47"/>
  </sheetPr>
  <dimension ref="A1:P110"/>
  <sheetViews>
    <sheetView showGridLines="0" showRowColHeaders="0" workbookViewId="0">
      <pane xSplit="4" topLeftCell="E1" activePane="topRight" state="frozen"/>
      <selection pane="topRight" activeCell="AD7" sqref="AD7"/>
    </sheetView>
  </sheetViews>
  <sheetFormatPr defaultRowHeight="14.25"/>
  <cols>
    <col min="1" max="4" width="7.25" customWidth="1"/>
    <col min="5" max="16" width="13" customWidth="1"/>
  </cols>
  <sheetData>
    <row r="1" spans="1:16" ht="28.5" customHeight="1">
      <c r="A1" s="18"/>
      <c r="B1" s="18"/>
      <c r="C1" s="18"/>
      <c r="D1" s="18"/>
      <c r="E1" s="17"/>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6"/>
      <c r="F3" s="16"/>
      <c r="G3" s="16"/>
      <c r="H3" s="16"/>
      <c r="I3" s="16"/>
      <c r="J3" s="16"/>
      <c r="K3" s="16"/>
      <c r="L3" s="16"/>
      <c r="M3" s="16"/>
      <c r="N3" s="16"/>
      <c r="O3" s="16"/>
      <c r="P3" s="16"/>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44" t="s">
        <v>28</v>
      </c>
      <c r="F5" s="44"/>
      <c r="G5" s="44"/>
      <c r="H5" s="44"/>
      <c r="I5" s="44"/>
      <c r="J5" s="44"/>
      <c r="K5" s="44"/>
      <c r="L5" s="44"/>
      <c r="M5" s="44"/>
      <c r="N5" s="44"/>
      <c r="O5" s="44"/>
      <c r="P5" s="44"/>
    </row>
    <row r="6" spans="1:16" ht="26.1" customHeight="1">
      <c r="A6" s="18"/>
      <c r="B6" s="18"/>
      <c r="C6" s="18"/>
      <c r="D6" s="18"/>
      <c r="E6" s="74" t="s">
        <v>154</v>
      </c>
      <c r="F6" s="74"/>
      <c r="G6" s="74"/>
      <c r="H6" s="74"/>
      <c r="I6" s="74"/>
      <c r="J6" s="74"/>
      <c r="K6" s="74"/>
      <c r="L6" s="74"/>
      <c r="M6" s="74"/>
      <c r="N6" s="74"/>
      <c r="O6" s="74"/>
      <c r="P6" s="74"/>
    </row>
    <row r="7" spans="1:16" ht="26.1" customHeight="1">
      <c r="A7" s="18"/>
      <c r="B7" s="18"/>
      <c r="C7" s="18"/>
      <c r="D7" s="18"/>
      <c r="E7" s="73" t="s">
        <v>155</v>
      </c>
      <c r="F7" s="73"/>
      <c r="G7" s="73"/>
      <c r="H7" s="73"/>
      <c r="I7" s="73"/>
      <c r="J7" s="73"/>
      <c r="K7" s="73"/>
      <c r="L7" s="73"/>
      <c r="M7" s="73"/>
      <c r="N7" s="73"/>
      <c r="O7" s="73"/>
      <c r="P7" s="73"/>
    </row>
    <row r="8" spans="1:16" ht="26.1" customHeight="1">
      <c r="A8" s="18"/>
      <c r="B8" s="18"/>
      <c r="C8" s="18"/>
      <c r="D8" s="18"/>
      <c r="E8" s="73"/>
      <c r="F8" s="73"/>
      <c r="G8" s="73"/>
      <c r="H8" s="73"/>
      <c r="I8" s="73"/>
      <c r="J8" s="73"/>
      <c r="K8" s="73"/>
      <c r="L8" s="73"/>
      <c r="M8" s="73"/>
      <c r="N8" s="73"/>
      <c r="O8" s="73"/>
      <c r="P8" s="73"/>
    </row>
    <row r="9" spans="1:16" ht="26.1" customHeight="1">
      <c r="A9" s="18"/>
      <c r="B9" s="18"/>
      <c r="C9" s="18"/>
      <c r="D9" s="18"/>
      <c r="E9" s="73"/>
      <c r="F9" s="73"/>
      <c r="G9" s="73"/>
      <c r="H9" s="73"/>
      <c r="I9" s="73"/>
      <c r="J9" s="73"/>
      <c r="K9" s="73"/>
      <c r="L9" s="73"/>
      <c r="M9" s="73"/>
      <c r="N9" s="73"/>
      <c r="O9" s="73"/>
      <c r="P9" s="73"/>
    </row>
    <row r="10" spans="1:16" ht="26.1" customHeight="1">
      <c r="A10" s="18"/>
      <c r="B10" s="18"/>
      <c r="C10" s="18"/>
      <c r="D10" s="18"/>
      <c r="E10" s="1"/>
      <c r="F10" s="1"/>
      <c r="G10" s="1"/>
      <c r="H10" s="1"/>
      <c r="I10" s="1"/>
      <c r="J10" s="1"/>
      <c r="K10" s="1"/>
      <c r="L10" s="1"/>
      <c r="M10" s="1"/>
      <c r="N10" s="1"/>
      <c r="O10" s="1"/>
      <c r="P10" s="1"/>
    </row>
    <row r="11" spans="1:16" ht="26.1" customHeight="1">
      <c r="A11" s="18"/>
      <c r="B11" s="18"/>
      <c r="C11" s="18"/>
      <c r="D11" s="18"/>
      <c r="E11" s="74" t="s">
        <v>156</v>
      </c>
      <c r="F11" s="74"/>
      <c r="G11" s="74"/>
      <c r="H11" s="74"/>
      <c r="I11" s="74"/>
      <c r="J11" s="74"/>
      <c r="K11" s="74"/>
      <c r="L11" s="74"/>
      <c r="M11" s="74"/>
      <c r="N11" s="74"/>
      <c r="O11" s="74"/>
      <c r="P11" s="74"/>
    </row>
    <row r="12" spans="1:16" ht="26.1" customHeight="1">
      <c r="A12" s="18"/>
      <c r="B12" s="18"/>
      <c r="C12" s="18"/>
      <c r="D12" s="18"/>
      <c r="E12" s="75" t="s">
        <v>157</v>
      </c>
      <c r="F12" s="75"/>
      <c r="G12" s="75"/>
      <c r="H12" s="75"/>
      <c r="I12" s="75"/>
      <c r="J12" s="75"/>
      <c r="K12" s="75"/>
      <c r="L12" s="75"/>
      <c r="M12" s="75"/>
      <c r="N12" s="75"/>
      <c r="O12" s="75"/>
      <c r="P12" s="75"/>
    </row>
    <row r="13" spans="1:16" ht="26.1" customHeight="1">
      <c r="A13" s="18"/>
      <c r="B13" s="18"/>
      <c r="C13" s="18"/>
      <c r="D13" s="18"/>
      <c r="E13" s="75"/>
      <c r="F13" s="75"/>
      <c r="G13" s="75"/>
      <c r="H13" s="75"/>
      <c r="I13" s="75"/>
      <c r="J13" s="75"/>
      <c r="K13" s="75"/>
      <c r="L13" s="75"/>
      <c r="M13" s="75"/>
      <c r="N13" s="75"/>
      <c r="O13" s="75"/>
      <c r="P13" s="75"/>
    </row>
    <row r="14" spans="1:16" ht="26.1" customHeight="1">
      <c r="A14" s="18"/>
      <c r="B14" s="18"/>
      <c r="C14" s="18"/>
      <c r="D14" s="18"/>
      <c r="E14" s="75"/>
      <c r="F14" s="75"/>
      <c r="G14" s="75"/>
      <c r="H14" s="75"/>
      <c r="I14" s="75"/>
      <c r="J14" s="75"/>
      <c r="K14" s="75"/>
      <c r="L14" s="75"/>
      <c r="M14" s="75"/>
      <c r="N14" s="75"/>
      <c r="O14" s="75"/>
      <c r="P14" s="75"/>
    </row>
    <row r="15" spans="1:16" ht="26.1" customHeight="1">
      <c r="A15" s="18"/>
      <c r="B15" s="18"/>
      <c r="C15" s="18"/>
      <c r="D15" s="18"/>
      <c r="E15" s="1"/>
      <c r="F15" s="1"/>
      <c r="G15" s="1"/>
      <c r="H15" s="1"/>
      <c r="I15" s="1"/>
      <c r="J15" s="1"/>
      <c r="K15" s="1"/>
      <c r="L15" s="1"/>
      <c r="M15" s="1"/>
      <c r="N15" s="1"/>
      <c r="O15" s="1"/>
      <c r="P15" s="1"/>
    </row>
    <row r="16" spans="1:16" ht="26.1" customHeight="1">
      <c r="A16" s="18"/>
      <c r="B16" s="18"/>
      <c r="C16" s="18"/>
      <c r="D16" s="18"/>
      <c r="E16" s="74" t="s">
        <v>158</v>
      </c>
      <c r="F16" s="74"/>
      <c r="G16" s="74"/>
      <c r="H16" s="74"/>
      <c r="I16" s="74"/>
      <c r="J16" s="74"/>
      <c r="K16" s="74"/>
      <c r="L16" s="74"/>
      <c r="M16" s="74"/>
      <c r="N16" s="74"/>
      <c r="O16" s="74"/>
      <c r="P16" s="74"/>
    </row>
    <row r="17" spans="1:16" ht="26.1" customHeight="1">
      <c r="A17" s="18"/>
      <c r="B17" s="18"/>
      <c r="C17" s="18"/>
      <c r="D17" s="18"/>
      <c r="E17" s="73" t="s">
        <v>159</v>
      </c>
      <c r="F17" s="73"/>
      <c r="G17" s="73"/>
      <c r="H17" s="73"/>
      <c r="I17" s="73"/>
      <c r="J17" s="73"/>
      <c r="K17" s="73"/>
      <c r="L17" s="73"/>
      <c r="M17" s="73"/>
      <c r="N17" s="73"/>
      <c r="O17" s="73"/>
      <c r="P17" s="73"/>
    </row>
    <row r="18" spans="1:16" ht="26.1" customHeight="1">
      <c r="A18" s="18"/>
      <c r="B18" s="18"/>
      <c r="C18" s="18"/>
      <c r="D18" s="18"/>
      <c r="E18" s="73"/>
      <c r="F18" s="73"/>
      <c r="G18" s="73"/>
      <c r="H18" s="73"/>
      <c r="I18" s="73"/>
      <c r="J18" s="73"/>
      <c r="K18" s="73"/>
      <c r="L18" s="73"/>
      <c r="M18" s="73"/>
      <c r="N18" s="73"/>
      <c r="O18" s="73"/>
      <c r="P18" s="73"/>
    </row>
    <row r="19" spans="1:16" ht="26.1" customHeight="1">
      <c r="A19" s="18"/>
      <c r="B19" s="18"/>
      <c r="C19" s="18"/>
      <c r="D19" s="18"/>
      <c r="E19" s="73"/>
      <c r="F19" s="73"/>
      <c r="G19" s="73"/>
      <c r="H19" s="73"/>
      <c r="I19" s="73"/>
      <c r="J19" s="73"/>
      <c r="K19" s="73"/>
      <c r="L19" s="73"/>
      <c r="M19" s="73"/>
      <c r="N19" s="73"/>
      <c r="O19" s="73"/>
      <c r="P19" s="73"/>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74" t="s">
        <v>160</v>
      </c>
      <c r="F21" s="74"/>
      <c r="G21" s="74"/>
      <c r="H21" s="74"/>
      <c r="I21" s="74"/>
      <c r="J21" s="74"/>
      <c r="K21" s="74"/>
      <c r="L21" s="74"/>
      <c r="M21" s="74"/>
      <c r="N21" s="74"/>
      <c r="O21" s="74"/>
      <c r="P21" s="74"/>
    </row>
    <row r="22" spans="1:16" ht="26.1" customHeight="1">
      <c r="A22" s="18"/>
      <c r="B22" s="18"/>
      <c r="C22" s="18"/>
      <c r="D22" s="18"/>
      <c r="E22" s="75" t="s">
        <v>161</v>
      </c>
      <c r="F22" s="75"/>
      <c r="G22" s="75"/>
      <c r="H22" s="75"/>
      <c r="I22" s="75"/>
      <c r="J22" s="75"/>
      <c r="K22" s="75"/>
      <c r="L22" s="75"/>
      <c r="M22" s="75"/>
      <c r="N22" s="75"/>
      <c r="O22" s="75"/>
      <c r="P22" s="75"/>
    </row>
    <row r="23" spans="1:16" ht="26.1" customHeight="1">
      <c r="A23" s="18"/>
      <c r="B23" s="18"/>
      <c r="C23" s="18"/>
      <c r="D23" s="18"/>
      <c r="E23" s="75"/>
      <c r="F23" s="75"/>
      <c r="G23" s="75"/>
      <c r="H23" s="75"/>
      <c r="I23" s="75"/>
      <c r="J23" s="75"/>
      <c r="K23" s="75"/>
      <c r="L23" s="75"/>
      <c r="M23" s="75"/>
      <c r="N23" s="75"/>
      <c r="O23" s="75"/>
      <c r="P23" s="75"/>
    </row>
    <row r="24" spans="1:16" ht="26.1" customHeight="1">
      <c r="A24" s="18"/>
      <c r="B24" s="18"/>
      <c r="C24" s="18"/>
      <c r="D24" s="18"/>
      <c r="E24" s="75"/>
      <c r="F24" s="75"/>
      <c r="G24" s="75"/>
      <c r="H24" s="75"/>
      <c r="I24" s="75"/>
      <c r="J24" s="75"/>
      <c r="K24" s="75"/>
      <c r="L24" s="75"/>
      <c r="M24" s="75"/>
      <c r="N24" s="75"/>
      <c r="O24" s="75"/>
      <c r="P24" s="75"/>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74" t="s">
        <v>162</v>
      </c>
      <c r="F26" s="74"/>
      <c r="G26" s="74"/>
      <c r="H26" s="74"/>
      <c r="I26" s="74"/>
      <c r="J26" s="74"/>
      <c r="K26" s="74"/>
      <c r="L26" s="74"/>
      <c r="M26" s="74"/>
      <c r="N26" s="74"/>
      <c r="O26" s="74"/>
      <c r="P26" s="74"/>
    </row>
    <row r="27" spans="1:16" ht="26.1" customHeight="1">
      <c r="A27" s="18"/>
      <c r="B27" s="18"/>
      <c r="C27" s="18"/>
      <c r="D27" s="18"/>
      <c r="E27" s="72" t="s">
        <v>163</v>
      </c>
      <c r="F27" s="72"/>
      <c r="G27" s="72"/>
      <c r="H27" s="72"/>
      <c r="I27" s="72"/>
      <c r="J27" s="72"/>
      <c r="K27" s="72"/>
      <c r="L27" s="72"/>
      <c r="M27" s="72"/>
      <c r="N27" s="72"/>
      <c r="O27" s="72"/>
      <c r="P27" s="72"/>
    </row>
    <row r="28" spans="1:16" ht="26.1" customHeight="1">
      <c r="A28" s="18"/>
      <c r="B28" s="18"/>
      <c r="C28" s="18"/>
      <c r="D28" s="18"/>
      <c r="E28" s="72"/>
      <c r="F28" s="72"/>
      <c r="G28" s="72"/>
      <c r="H28" s="72"/>
      <c r="I28" s="72"/>
      <c r="J28" s="72"/>
      <c r="K28" s="72"/>
      <c r="L28" s="72"/>
      <c r="M28" s="72"/>
      <c r="N28" s="72"/>
      <c r="O28" s="72"/>
      <c r="P28" s="72"/>
    </row>
    <row r="29" spans="1:16" ht="26.1" customHeight="1">
      <c r="A29" s="18"/>
      <c r="B29" s="18"/>
      <c r="C29" s="18"/>
      <c r="D29" s="18"/>
      <c r="E29" s="72"/>
      <c r="F29" s="72"/>
      <c r="G29" s="72"/>
      <c r="H29" s="72"/>
      <c r="I29" s="72"/>
      <c r="J29" s="72"/>
      <c r="K29" s="72"/>
      <c r="L29" s="72"/>
      <c r="M29" s="72"/>
      <c r="N29" s="72"/>
      <c r="O29" s="72"/>
      <c r="P29" s="72"/>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74" t="s">
        <v>164</v>
      </c>
      <c r="F31" s="74"/>
      <c r="G31" s="74"/>
      <c r="H31" s="74"/>
      <c r="I31" s="74"/>
      <c r="J31" s="74"/>
      <c r="K31" s="74"/>
      <c r="L31" s="74"/>
      <c r="M31" s="74"/>
      <c r="N31" s="74"/>
      <c r="O31" s="74"/>
      <c r="P31" s="74"/>
    </row>
    <row r="32" spans="1:16" ht="26.1" customHeight="1">
      <c r="A32" s="18"/>
      <c r="B32" s="18"/>
      <c r="C32" s="18"/>
      <c r="D32" s="18"/>
      <c r="E32" s="75" t="s">
        <v>165</v>
      </c>
      <c r="F32" s="75"/>
      <c r="G32" s="75"/>
      <c r="H32" s="75"/>
      <c r="I32" s="75"/>
      <c r="J32" s="75"/>
      <c r="K32" s="75"/>
      <c r="L32" s="75"/>
      <c r="M32" s="75"/>
      <c r="N32" s="75"/>
      <c r="O32" s="75"/>
      <c r="P32" s="75"/>
    </row>
    <row r="33" spans="1:16" ht="26.1" customHeight="1">
      <c r="A33" s="18"/>
      <c r="B33" s="18"/>
      <c r="C33" s="18"/>
      <c r="D33" s="18"/>
      <c r="E33" s="75"/>
      <c r="F33" s="75"/>
      <c r="G33" s="75"/>
      <c r="H33" s="75"/>
      <c r="I33" s="75"/>
      <c r="J33" s="75"/>
      <c r="K33" s="75"/>
      <c r="L33" s="75"/>
      <c r="M33" s="75"/>
      <c r="N33" s="75"/>
      <c r="O33" s="75"/>
      <c r="P33" s="75"/>
    </row>
    <row r="34" spans="1:16" ht="26.1" customHeight="1">
      <c r="A34" s="18"/>
      <c r="B34" s="18"/>
      <c r="C34" s="18"/>
      <c r="D34" s="18"/>
      <c r="E34" s="75"/>
      <c r="F34" s="75"/>
      <c r="G34" s="75"/>
      <c r="H34" s="75"/>
      <c r="I34" s="75"/>
      <c r="J34" s="75"/>
      <c r="K34" s="75"/>
      <c r="L34" s="75"/>
      <c r="M34" s="75"/>
      <c r="N34" s="75"/>
      <c r="O34" s="75"/>
      <c r="P34" s="75"/>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74" t="s">
        <v>166</v>
      </c>
      <c r="F36" s="74"/>
      <c r="G36" s="74"/>
      <c r="H36" s="74"/>
      <c r="I36" s="74"/>
      <c r="J36" s="74"/>
      <c r="K36" s="74"/>
      <c r="L36" s="74"/>
      <c r="M36" s="74"/>
      <c r="N36" s="74"/>
      <c r="O36" s="74"/>
      <c r="P36" s="74"/>
    </row>
    <row r="37" spans="1:16" ht="26.1" customHeight="1">
      <c r="A37" s="18"/>
      <c r="B37" s="18"/>
      <c r="C37" s="18"/>
      <c r="D37" s="18"/>
      <c r="E37" s="73" t="s">
        <v>167</v>
      </c>
      <c r="F37" s="73"/>
      <c r="G37" s="73"/>
      <c r="H37" s="73"/>
      <c r="I37" s="73"/>
      <c r="J37" s="73"/>
      <c r="K37" s="73"/>
      <c r="L37" s="73"/>
      <c r="M37" s="73"/>
      <c r="N37" s="73"/>
      <c r="O37" s="73"/>
      <c r="P37" s="73"/>
    </row>
    <row r="38" spans="1:16" ht="26.1" customHeight="1">
      <c r="A38" s="18"/>
      <c r="B38" s="18"/>
      <c r="C38" s="18"/>
      <c r="D38" s="18"/>
      <c r="E38" s="73"/>
      <c r="F38" s="73"/>
      <c r="G38" s="73"/>
      <c r="H38" s="73"/>
      <c r="I38" s="73"/>
      <c r="J38" s="73"/>
      <c r="K38" s="73"/>
      <c r="L38" s="73"/>
      <c r="M38" s="73"/>
      <c r="N38" s="73"/>
      <c r="O38" s="73"/>
      <c r="P38" s="73"/>
    </row>
    <row r="39" spans="1:16" ht="26.1" customHeight="1">
      <c r="A39" s="18"/>
      <c r="B39" s="18"/>
      <c r="C39" s="18"/>
      <c r="D39" s="18"/>
      <c r="E39" s="73"/>
      <c r="F39" s="73"/>
      <c r="G39" s="73"/>
      <c r="H39" s="73"/>
      <c r="I39" s="73"/>
      <c r="J39" s="73"/>
      <c r="K39" s="73"/>
      <c r="L39" s="73"/>
      <c r="M39" s="73"/>
      <c r="N39" s="73"/>
      <c r="O39" s="73"/>
      <c r="P39" s="73"/>
    </row>
    <row r="40" spans="1:16" ht="26.1" customHeight="1">
      <c r="A40" s="18"/>
      <c r="B40" s="18"/>
      <c r="C40" s="18"/>
      <c r="D40" s="18"/>
      <c r="E40" s="1"/>
      <c r="F40" s="1"/>
      <c r="G40" s="1"/>
      <c r="H40" s="1"/>
      <c r="I40" s="1"/>
      <c r="J40" s="1"/>
      <c r="K40" s="1"/>
      <c r="L40" s="1"/>
      <c r="M40" s="1"/>
      <c r="N40" s="1"/>
      <c r="O40" s="1"/>
      <c r="P40" s="1"/>
    </row>
    <row r="41" spans="1:16" ht="26.1" customHeight="1">
      <c r="A41" s="18"/>
      <c r="B41" s="18"/>
      <c r="C41" s="18"/>
      <c r="D41" s="18"/>
      <c r="E41" s="74" t="s">
        <v>168</v>
      </c>
      <c r="F41" s="74"/>
      <c r="G41" s="74"/>
      <c r="H41" s="74"/>
      <c r="I41" s="74"/>
      <c r="J41" s="74"/>
      <c r="K41" s="74"/>
      <c r="L41" s="74"/>
      <c r="M41" s="74"/>
      <c r="N41" s="74"/>
      <c r="O41" s="74"/>
      <c r="P41" s="74"/>
    </row>
    <row r="42" spans="1:16" ht="26.1" customHeight="1">
      <c r="A42" s="18"/>
      <c r="B42" s="18"/>
      <c r="C42" s="18"/>
      <c r="D42" s="18"/>
      <c r="E42" s="75" t="s">
        <v>169</v>
      </c>
      <c r="F42" s="75"/>
      <c r="G42" s="75"/>
      <c r="H42" s="75"/>
      <c r="I42" s="75"/>
      <c r="J42" s="75"/>
      <c r="K42" s="75"/>
      <c r="L42" s="75"/>
      <c r="M42" s="75"/>
      <c r="N42" s="75"/>
      <c r="O42" s="75"/>
      <c r="P42" s="75"/>
    </row>
    <row r="43" spans="1:16" ht="26.1" customHeight="1">
      <c r="A43" s="18"/>
      <c r="B43" s="18"/>
      <c r="C43" s="18"/>
      <c r="D43" s="18"/>
      <c r="E43" s="75"/>
      <c r="F43" s="75"/>
      <c r="G43" s="75"/>
      <c r="H43" s="75"/>
      <c r="I43" s="75"/>
      <c r="J43" s="75"/>
      <c r="K43" s="75"/>
      <c r="L43" s="75"/>
      <c r="M43" s="75"/>
      <c r="N43" s="75"/>
      <c r="O43" s="75"/>
      <c r="P43" s="75"/>
    </row>
    <row r="44" spans="1:16" ht="26.1" customHeight="1">
      <c r="A44" s="18"/>
      <c r="B44" s="18"/>
      <c r="C44" s="18"/>
      <c r="D44" s="18"/>
      <c r="E44" s="75"/>
      <c r="F44" s="75"/>
      <c r="G44" s="75"/>
      <c r="H44" s="75"/>
      <c r="I44" s="75"/>
      <c r="J44" s="75"/>
      <c r="K44" s="75"/>
      <c r="L44" s="75"/>
      <c r="M44" s="75"/>
      <c r="N44" s="75"/>
      <c r="O44" s="75"/>
      <c r="P44" s="75"/>
    </row>
    <row r="45" spans="1:16" ht="26.1" customHeight="1">
      <c r="A45" s="18"/>
      <c r="B45" s="18"/>
      <c r="C45" s="18"/>
      <c r="D45" s="18"/>
      <c r="E45" s="1"/>
      <c r="F45" s="1"/>
      <c r="G45" s="1"/>
      <c r="H45" s="1"/>
      <c r="I45" s="1"/>
      <c r="J45" s="1"/>
      <c r="K45" s="1"/>
      <c r="L45" s="1"/>
      <c r="M45" s="1"/>
      <c r="N45" s="1"/>
      <c r="O45" s="1"/>
      <c r="P45" s="1"/>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17">
    <mergeCell ref="E42:P44"/>
    <mergeCell ref="E31:P31"/>
    <mergeCell ref="E32:P34"/>
    <mergeCell ref="E36:P36"/>
    <mergeCell ref="E37:P39"/>
    <mergeCell ref="E41:P41"/>
    <mergeCell ref="E5:P5"/>
    <mergeCell ref="E27:P29"/>
    <mergeCell ref="E17:P19"/>
    <mergeCell ref="E21:P21"/>
    <mergeCell ref="E22:P24"/>
    <mergeCell ref="E26:P26"/>
    <mergeCell ref="E6:P6"/>
    <mergeCell ref="E7:P9"/>
    <mergeCell ref="E11:P11"/>
    <mergeCell ref="E12:P14"/>
    <mergeCell ref="E16:P1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Dashboard</vt:lpstr>
      <vt:lpstr>Risk Register</vt:lpstr>
      <vt:lpstr>Control Assessment</vt:lpstr>
      <vt:lpstr>Evidence Tracker</vt:lpstr>
      <vt:lpstr>Remediation Tracker</vt:lpstr>
      <vt:lpstr>Scoring Methodology</vt:lpstr>
      <vt:lpstr>Instructions</vt:lpstr>
      <vt:lpstr>ControlIDs</vt:lpstr>
      <vt:lpstr>RiskIDs</vt:lpstr>
      <vt:lpstr>RiskTitles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Portfolio</dc:creator>
  <cp:lastModifiedBy>Portfolio</cp:lastModifiedBy>
  <dcterms:created xsi:type="dcterms:W3CDTF">2026-10-15T17:29:49Z</dcterms:created>
  <dcterms:modified xsi:type="dcterms:W3CDTF">2026-10-15T20:12:46Z</dcterms:modified>
</cp:coreProperties>
</file>