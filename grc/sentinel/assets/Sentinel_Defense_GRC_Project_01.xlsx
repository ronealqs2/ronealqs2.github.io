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5E396DB4-2D77-4581-BA35-D204867B9535}" xr6:coauthVersionLast="47" xr6:coauthVersionMax="47" xr10:uidLastSave="{00000000-0000-0000-0000-000000000000}"/>
  <bookViews>
    <workbookView showSheetTabs="0" xWindow="-120" yWindow="-120" windowWidth="51840" windowHeight="21840" xr2:uid="{00000000-000D-0000-FFFF-FFFF00000000}"/>
  </bookViews>
  <sheets>
    <sheet name="Dashboard" sheetId="1" r:id="rId1"/>
    <sheet name="Risk Register" sheetId="2" r:id="rId2"/>
    <sheet name="Control Assessment" sheetId="3" r:id="rId3"/>
    <sheet name="Evidence Tracker" sheetId="4" r:id="rId4"/>
    <sheet name="Remediation Tracker" sheetId="5" r:id="rId5"/>
    <sheet name="Scoring Methodology" sheetId="6" r:id="rId6"/>
    <sheet name="Instructions" sheetId="7" r:id="rId7"/>
  </sheets>
  <definedNames>
    <definedName name="ControlIDs">'Control Assessment'!$E$7:$E$106</definedName>
    <definedName name="RiskIDs">'Risk Register'!$E$7:$E$106</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6" i="5" l="1"/>
  <c r="O105" i="5"/>
  <c r="O104" i="5"/>
  <c r="O103" i="5"/>
  <c r="O102" i="5"/>
  <c r="O101" i="5"/>
  <c r="O100" i="5"/>
  <c r="O99" i="5"/>
  <c r="O98" i="5"/>
  <c r="O97" i="5"/>
  <c r="O96" i="5"/>
  <c r="O95" i="5"/>
  <c r="O94" i="5"/>
  <c r="O93" i="5"/>
  <c r="O92" i="5"/>
  <c r="O91" i="5"/>
  <c r="O90" i="5"/>
  <c r="O89" i="5"/>
  <c r="O88" i="5"/>
  <c r="O87" i="5"/>
  <c r="O86" i="5"/>
  <c r="O85" i="5"/>
  <c r="O84" i="5"/>
  <c r="O83" i="5"/>
  <c r="O82" i="5"/>
  <c r="O81" i="5"/>
  <c r="O80" i="5"/>
  <c r="O79" i="5"/>
  <c r="O78" i="5"/>
  <c r="O77" i="5"/>
  <c r="O76" i="5"/>
  <c r="O75" i="5"/>
  <c r="O74" i="5"/>
  <c r="O73" i="5"/>
  <c r="O72" i="5"/>
  <c r="O71" i="5"/>
  <c r="O70" i="5"/>
  <c r="O69" i="5"/>
  <c r="O68" i="5"/>
  <c r="O67" i="5"/>
  <c r="O66" i="5"/>
  <c r="O65" i="5"/>
  <c r="O64" i="5"/>
  <c r="O63" i="5"/>
  <c r="O62" i="5"/>
  <c r="O61" i="5"/>
  <c r="O60" i="5"/>
  <c r="O59" i="5"/>
  <c r="O58" i="5"/>
  <c r="O57" i="5"/>
  <c r="O56" i="5"/>
  <c r="O55" i="5"/>
  <c r="O54" i="5"/>
  <c r="O53" i="5"/>
  <c r="O52" i="5"/>
  <c r="O51" i="5"/>
  <c r="O50" i="5"/>
  <c r="O49" i="5"/>
  <c r="O48" i="5"/>
  <c r="O47" i="5"/>
  <c r="O46" i="5"/>
  <c r="O45" i="5"/>
  <c r="O44" i="5"/>
  <c r="O43" i="5"/>
  <c r="O42" i="5"/>
  <c r="O41" i="5"/>
  <c r="O40" i="5"/>
  <c r="O39" i="5"/>
  <c r="O38" i="5"/>
  <c r="O37"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AB40" i="1" s="1"/>
  <c r="Y106" i="2"/>
  <c r="V106" i="2"/>
  <c r="W106" i="2" s="1"/>
  <c r="M106" i="2"/>
  <c r="N106" i="2" s="1"/>
  <c r="Y105" i="2"/>
  <c r="V105" i="2"/>
  <c r="W105" i="2" s="1"/>
  <c r="M105" i="2"/>
  <c r="N105" i="2" s="1"/>
  <c r="Y104" i="2"/>
  <c r="V104" i="2"/>
  <c r="W104" i="2" s="1"/>
  <c r="M104" i="2"/>
  <c r="N104" i="2" s="1"/>
  <c r="Y103" i="2"/>
  <c r="V103" i="2"/>
  <c r="W103" i="2" s="1"/>
  <c r="M103" i="2"/>
  <c r="N103" i="2" s="1"/>
  <c r="Y102" i="2"/>
  <c r="V102" i="2"/>
  <c r="W102" i="2" s="1"/>
  <c r="M102" i="2"/>
  <c r="N102" i="2" s="1"/>
  <c r="Y101" i="2"/>
  <c r="V101" i="2"/>
  <c r="W101" i="2" s="1"/>
  <c r="M101" i="2"/>
  <c r="N101" i="2" s="1"/>
  <c r="Y100" i="2"/>
  <c r="V100" i="2"/>
  <c r="W100" i="2" s="1"/>
  <c r="M100" i="2"/>
  <c r="N100" i="2" s="1"/>
  <c r="Y99" i="2"/>
  <c r="V99" i="2"/>
  <c r="W99" i="2" s="1"/>
  <c r="M99" i="2"/>
  <c r="N99" i="2" s="1"/>
  <c r="Y98" i="2"/>
  <c r="V98" i="2"/>
  <c r="W98" i="2" s="1"/>
  <c r="M98" i="2"/>
  <c r="N98" i="2" s="1"/>
  <c r="Y97" i="2"/>
  <c r="V97" i="2"/>
  <c r="W97" i="2" s="1"/>
  <c r="M97" i="2"/>
  <c r="N97" i="2" s="1"/>
  <c r="Y96" i="2"/>
  <c r="V96" i="2"/>
  <c r="W96" i="2" s="1"/>
  <c r="M96" i="2"/>
  <c r="N96" i="2" s="1"/>
  <c r="Y95" i="2"/>
  <c r="V95" i="2"/>
  <c r="W95" i="2" s="1"/>
  <c r="M95" i="2"/>
  <c r="N95" i="2" s="1"/>
  <c r="Y94" i="2"/>
  <c r="V94" i="2"/>
  <c r="W94" i="2" s="1"/>
  <c r="M94" i="2"/>
  <c r="N94" i="2" s="1"/>
  <c r="Y93" i="2"/>
  <c r="V93" i="2"/>
  <c r="W93" i="2" s="1"/>
  <c r="M93" i="2"/>
  <c r="N93" i="2" s="1"/>
  <c r="Y92" i="2"/>
  <c r="V92" i="2"/>
  <c r="W92" i="2" s="1"/>
  <c r="M92" i="2"/>
  <c r="N92" i="2" s="1"/>
  <c r="Y91" i="2"/>
  <c r="V91" i="2"/>
  <c r="W91" i="2" s="1"/>
  <c r="M91" i="2"/>
  <c r="N91" i="2" s="1"/>
  <c r="Y90" i="2"/>
  <c r="V90" i="2"/>
  <c r="W90" i="2" s="1"/>
  <c r="M90" i="2"/>
  <c r="N90" i="2" s="1"/>
  <c r="Y89" i="2"/>
  <c r="V89" i="2"/>
  <c r="W89" i="2" s="1"/>
  <c r="M89" i="2"/>
  <c r="N89" i="2" s="1"/>
  <c r="Y88" i="2"/>
  <c r="V88" i="2"/>
  <c r="W88" i="2" s="1"/>
  <c r="M88" i="2"/>
  <c r="N88" i="2" s="1"/>
  <c r="Y87" i="2"/>
  <c r="V87" i="2"/>
  <c r="W87" i="2" s="1"/>
  <c r="M87" i="2"/>
  <c r="N87" i="2" s="1"/>
  <c r="Y86" i="2"/>
  <c r="V86" i="2"/>
  <c r="W86" i="2" s="1"/>
  <c r="M86" i="2"/>
  <c r="N86" i="2" s="1"/>
  <c r="Y85" i="2"/>
  <c r="V85" i="2"/>
  <c r="W85" i="2" s="1"/>
  <c r="M85" i="2"/>
  <c r="N85" i="2" s="1"/>
  <c r="Y84" i="2"/>
  <c r="V84" i="2"/>
  <c r="W84" i="2" s="1"/>
  <c r="M84" i="2"/>
  <c r="N84" i="2" s="1"/>
  <c r="Y83" i="2"/>
  <c r="V83" i="2"/>
  <c r="W83" i="2" s="1"/>
  <c r="M83" i="2"/>
  <c r="N83" i="2" s="1"/>
  <c r="Y82" i="2"/>
  <c r="V82" i="2"/>
  <c r="W82" i="2" s="1"/>
  <c r="M82" i="2"/>
  <c r="N82" i="2" s="1"/>
  <c r="Y81" i="2"/>
  <c r="V81" i="2"/>
  <c r="W81" i="2" s="1"/>
  <c r="M81" i="2"/>
  <c r="N81" i="2" s="1"/>
  <c r="Y80" i="2"/>
  <c r="V80" i="2"/>
  <c r="W80" i="2" s="1"/>
  <c r="M80" i="2"/>
  <c r="N80" i="2" s="1"/>
  <c r="Y79" i="2"/>
  <c r="V79" i="2"/>
  <c r="W79" i="2" s="1"/>
  <c r="M79" i="2"/>
  <c r="N79" i="2" s="1"/>
  <c r="Y78" i="2"/>
  <c r="W78" i="2"/>
  <c r="V78" i="2"/>
  <c r="M78" i="2"/>
  <c r="N78" i="2" s="1"/>
  <c r="Y77" i="2"/>
  <c r="V77" i="2"/>
  <c r="W77" i="2" s="1"/>
  <c r="M77" i="2"/>
  <c r="N77" i="2" s="1"/>
  <c r="Y76" i="2"/>
  <c r="V76" i="2"/>
  <c r="W76" i="2" s="1"/>
  <c r="M76" i="2"/>
  <c r="N76" i="2" s="1"/>
  <c r="Y75" i="2"/>
  <c r="V75" i="2"/>
  <c r="W75" i="2" s="1"/>
  <c r="M75" i="2"/>
  <c r="N75" i="2" s="1"/>
  <c r="Y74" i="2"/>
  <c r="V74" i="2"/>
  <c r="W74" i="2" s="1"/>
  <c r="M74" i="2"/>
  <c r="N74" i="2" s="1"/>
  <c r="Y73" i="2"/>
  <c r="V73" i="2"/>
  <c r="W73" i="2" s="1"/>
  <c r="M73" i="2"/>
  <c r="N73" i="2" s="1"/>
  <c r="Y72" i="2"/>
  <c r="V72" i="2"/>
  <c r="W72" i="2" s="1"/>
  <c r="M72" i="2"/>
  <c r="N72" i="2" s="1"/>
  <c r="Y71" i="2"/>
  <c r="V71" i="2"/>
  <c r="W71" i="2" s="1"/>
  <c r="M71" i="2"/>
  <c r="N71" i="2" s="1"/>
  <c r="Y70" i="2"/>
  <c r="W70" i="2"/>
  <c r="V70" i="2"/>
  <c r="M70" i="2"/>
  <c r="N70" i="2" s="1"/>
  <c r="Y69" i="2"/>
  <c r="V69" i="2"/>
  <c r="W69" i="2" s="1"/>
  <c r="M69" i="2"/>
  <c r="N69" i="2" s="1"/>
  <c r="Y68" i="2"/>
  <c r="V68" i="2"/>
  <c r="W68" i="2" s="1"/>
  <c r="M68" i="2"/>
  <c r="N68" i="2" s="1"/>
  <c r="Y67" i="2"/>
  <c r="V67" i="2"/>
  <c r="W67" i="2" s="1"/>
  <c r="M67" i="2"/>
  <c r="N67" i="2" s="1"/>
  <c r="Y66" i="2"/>
  <c r="V66" i="2"/>
  <c r="W66" i="2" s="1"/>
  <c r="M66" i="2"/>
  <c r="N66" i="2" s="1"/>
  <c r="Y65" i="2"/>
  <c r="V65" i="2"/>
  <c r="W65" i="2" s="1"/>
  <c r="M65" i="2"/>
  <c r="N65" i="2" s="1"/>
  <c r="Y64" i="2"/>
  <c r="V64" i="2"/>
  <c r="W64" i="2" s="1"/>
  <c r="M64" i="2"/>
  <c r="N64" i="2" s="1"/>
  <c r="Y63" i="2"/>
  <c r="V63" i="2"/>
  <c r="W63" i="2" s="1"/>
  <c r="M63" i="2"/>
  <c r="N63" i="2" s="1"/>
  <c r="Y62" i="2"/>
  <c r="V62" i="2"/>
  <c r="W62" i="2" s="1"/>
  <c r="M62" i="2"/>
  <c r="N62" i="2" s="1"/>
  <c r="Y61" i="2"/>
  <c r="V61" i="2"/>
  <c r="W61" i="2" s="1"/>
  <c r="M61" i="2"/>
  <c r="N61" i="2" s="1"/>
  <c r="Y60" i="2"/>
  <c r="V60" i="2"/>
  <c r="W60" i="2" s="1"/>
  <c r="M60" i="2"/>
  <c r="N60" i="2" s="1"/>
  <c r="Y59" i="2"/>
  <c r="V59" i="2"/>
  <c r="W59" i="2" s="1"/>
  <c r="M59" i="2"/>
  <c r="N59" i="2" s="1"/>
  <c r="Y58" i="2"/>
  <c r="V58" i="2"/>
  <c r="W58" i="2" s="1"/>
  <c r="M58" i="2"/>
  <c r="N58" i="2" s="1"/>
  <c r="Y57" i="2"/>
  <c r="V57" i="2"/>
  <c r="W57" i="2" s="1"/>
  <c r="M57" i="2"/>
  <c r="N57" i="2" s="1"/>
  <c r="Y56" i="2"/>
  <c r="V56" i="2"/>
  <c r="W56" i="2" s="1"/>
  <c r="N56" i="2"/>
  <c r="M56" i="2"/>
  <c r="Y55" i="2"/>
  <c r="V55" i="2"/>
  <c r="W55" i="2" s="1"/>
  <c r="M55" i="2"/>
  <c r="N55" i="2" s="1"/>
  <c r="Y54" i="2"/>
  <c r="V54" i="2"/>
  <c r="W54" i="2" s="1"/>
  <c r="M54" i="2"/>
  <c r="N54" i="2" s="1"/>
  <c r="Y53" i="2"/>
  <c r="V53" i="2"/>
  <c r="W53" i="2" s="1"/>
  <c r="M53" i="2"/>
  <c r="N53" i="2" s="1"/>
  <c r="Y52" i="2"/>
  <c r="V52" i="2"/>
  <c r="W52" i="2" s="1"/>
  <c r="M52" i="2"/>
  <c r="N52" i="2" s="1"/>
  <c r="Y51" i="2"/>
  <c r="V51" i="2"/>
  <c r="W51" i="2" s="1"/>
  <c r="N51" i="2"/>
  <c r="M51" i="2"/>
  <c r="Y50" i="2"/>
  <c r="V50" i="2"/>
  <c r="W50" i="2" s="1"/>
  <c r="M50" i="2"/>
  <c r="N50" i="2" s="1"/>
  <c r="Y49" i="2"/>
  <c r="V49" i="2"/>
  <c r="W49" i="2" s="1"/>
  <c r="M49" i="2"/>
  <c r="N49" i="2" s="1"/>
  <c r="Y48" i="2"/>
  <c r="V48" i="2"/>
  <c r="W48" i="2" s="1"/>
  <c r="M48" i="2"/>
  <c r="N48" i="2" s="1"/>
  <c r="Y47" i="2"/>
  <c r="V47" i="2"/>
  <c r="W47" i="2" s="1"/>
  <c r="M47" i="2"/>
  <c r="N47" i="2" s="1"/>
  <c r="Y46" i="2"/>
  <c r="V46" i="2"/>
  <c r="W46" i="2" s="1"/>
  <c r="M46" i="2"/>
  <c r="N46" i="2" s="1"/>
  <c r="Y45" i="2"/>
  <c r="V45" i="2"/>
  <c r="W45" i="2" s="1"/>
  <c r="M45" i="2"/>
  <c r="N45" i="2" s="1"/>
  <c r="Y44" i="2"/>
  <c r="V44" i="2"/>
  <c r="W44" i="2" s="1"/>
  <c r="M44" i="2"/>
  <c r="N44" i="2" s="1"/>
  <c r="Y43" i="2"/>
  <c r="V43" i="2"/>
  <c r="W43" i="2" s="1"/>
  <c r="M43" i="2"/>
  <c r="N43" i="2" s="1"/>
  <c r="Y42" i="2"/>
  <c r="V42" i="2"/>
  <c r="W42" i="2" s="1"/>
  <c r="M42" i="2"/>
  <c r="N42" i="2" s="1"/>
  <c r="Y41" i="2"/>
  <c r="V41" i="2"/>
  <c r="W41" i="2" s="1"/>
  <c r="N41" i="2"/>
  <c r="M41" i="2"/>
  <c r="Y40" i="2"/>
  <c r="V40" i="2"/>
  <c r="W40" i="2" s="1"/>
  <c r="M40" i="2"/>
  <c r="N40" i="2" s="1"/>
  <c r="Y39" i="2"/>
  <c r="V39" i="2"/>
  <c r="W39" i="2" s="1"/>
  <c r="M39" i="2"/>
  <c r="N39" i="2" s="1"/>
  <c r="Y38" i="2"/>
  <c r="V38" i="2"/>
  <c r="W38" i="2" s="1"/>
  <c r="N38" i="2"/>
  <c r="M38" i="2"/>
  <c r="Y37" i="2"/>
  <c r="V37" i="2"/>
  <c r="W37" i="2" s="1"/>
  <c r="M37" i="2"/>
  <c r="N37" i="2" s="1"/>
  <c r="Y36" i="2"/>
  <c r="V36" i="2"/>
  <c r="W36" i="2" s="1"/>
  <c r="M36" i="2"/>
  <c r="N36" i="2" s="1"/>
  <c r="Y35" i="2"/>
  <c r="V35" i="2"/>
  <c r="W35" i="2" s="1"/>
  <c r="M35" i="2"/>
  <c r="N35" i="2" s="1"/>
  <c r="Y34" i="2"/>
  <c r="V34" i="2"/>
  <c r="W34" i="2" s="1"/>
  <c r="M34" i="2"/>
  <c r="N34" i="2" s="1"/>
  <c r="Y33" i="2"/>
  <c r="V33" i="2"/>
  <c r="W33" i="2" s="1"/>
  <c r="M33" i="2"/>
  <c r="N33" i="2" s="1"/>
  <c r="Y32" i="2"/>
  <c r="V32" i="2"/>
  <c r="W32" i="2" s="1"/>
  <c r="M32" i="2"/>
  <c r="N32" i="2" s="1"/>
  <c r="Y31" i="2"/>
  <c r="V31" i="2"/>
  <c r="W31" i="2" s="1"/>
  <c r="M31" i="2"/>
  <c r="N31" i="2" s="1"/>
  <c r="Y30" i="2"/>
  <c r="V30" i="2"/>
  <c r="W30" i="2" s="1"/>
  <c r="N30" i="2"/>
  <c r="M30" i="2"/>
  <c r="Y29" i="2"/>
  <c r="V29" i="2"/>
  <c r="W29" i="2" s="1"/>
  <c r="M29" i="2"/>
  <c r="N29" i="2" s="1"/>
  <c r="Y28" i="2"/>
  <c r="V28" i="2"/>
  <c r="W28" i="2" s="1"/>
  <c r="M28" i="2"/>
  <c r="N28" i="2" s="1"/>
  <c r="Y27" i="2"/>
  <c r="V27" i="2"/>
  <c r="W27" i="2" s="1"/>
  <c r="M27" i="2"/>
  <c r="N27" i="2" s="1"/>
  <c r="Y26" i="2"/>
  <c r="V26" i="2"/>
  <c r="W26" i="2" s="1"/>
  <c r="M26" i="2"/>
  <c r="N26" i="2" s="1"/>
  <c r="Y25" i="2"/>
  <c r="V25" i="2"/>
  <c r="W25" i="2" s="1"/>
  <c r="M25" i="2"/>
  <c r="N25" i="2" s="1"/>
  <c r="Y24" i="2"/>
  <c r="V24" i="2"/>
  <c r="W24" i="2" s="1"/>
  <c r="M24" i="2"/>
  <c r="N24" i="2" s="1"/>
  <c r="Y23" i="2"/>
  <c r="V23" i="2"/>
  <c r="W23" i="2" s="1"/>
  <c r="M23" i="2"/>
  <c r="N23" i="2" s="1"/>
  <c r="Y22" i="2"/>
  <c r="V22" i="2"/>
  <c r="W22" i="2" s="1"/>
  <c r="N22" i="2"/>
  <c r="M22" i="2"/>
  <c r="Y21" i="2"/>
  <c r="V21" i="2"/>
  <c r="W21" i="2" s="1"/>
  <c r="M21" i="2"/>
  <c r="N21" i="2" s="1"/>
  <c r="Y20" i="2"/>
  <c r="V20" i="2"/>
  <c r="W20" i="2" s="1"/>
  <c r="M20" i="2"/>
  <c r="N20" i="2" s="1"/>
  <c r="Y19" i="2"/>
  <c r="V19" i="2"/>
  <c r="W19" i="2" s="1"/>
  <c r="M19" i="2"/>
  <c r="N19" i="2" s="1"/>
  <c r="Y18" i="2"/>
  <c r="V18" i="2"/>
  <c r="W18" i="2" s="1"/>
  <c r="M18" i="2"/>
  <c r="N18" i="2" s="1"/>
  <c r="Y17" i="2"/>
  <c r="V17" i="2"/>
  <c r="W17" i="2" s="1"/>
  <c r="M17" i="2"/>
  <c r="N17" i="2" s="1"/>
  <c r="Y16" i="2"/>
  <c r="V16" i="2"/>
  <c r="W16" i="2" s="1"/>
  <c r="M16" i="2"/>
  <c r="N16" i="2" s="1"/>
  <c r="Y15" i="2"/>
  <c r="V15" i="2"/>
  <c r="W15" i="2" s="1"/>
  <c r="M15" i="2"/>
  <c r="N15" i="2" s="1"/>
  <c r="Y14" i="2"/>
  <c r="V14" i="2"/>
  <c r="W14" i="2" s="1"/>
  <c r="M14" i="2"/>
  <c r="N14" i="2" s="1"/>
  <c r="Y13" i="2"/>
  <c r="V13" i="2"/>
  <c r="W13" i="2" s="1"/>
  <c r="M13" i="2"/>
  <c r="N13" i="2" s="1"/>
  <c r="Y12" i="2"/>
  <c r="V12" i="2"/>
  <c r="W12" i="2" s="1"/>
  <c r="M12" i="2"/>
  <c r="N12" i="2" s="1"/>
  <c r="Y11" i="2"/>
  <c r="V11" i="2"/>
  <c r="W11" i="2" s="1"/>
  <c r="M11" i="2"/>
  <c r="N11" i="2" s="1"/>
  <c r="Y10" i="2"/>
  <c r="V10" i="2"/>
  <c r="W10" i="2" s="1"/>
  <c r="M10" i="2"/>
  <c r="N10" i="2" s="1"/>
  <c r="Y9" i="2"/>
  <c r="V9" i="2"/>
  <c r="W9" i="2" s="1"/>
  <c r="M9" i="2"/>
  <c r="N9" i="2" s="1"/>
  <c r="Y8" i="2"/>
  <c r="V8" i="2"/>
  <c r="W8" i="2" s="1"/>
  <c r="M8" i="2"/>
  <c r="N8" i="2" s="1"/>
  <c r="V7" i="2"/>
  <c r="W7" i="2" s="1"/>
  <c r="M7" i="2"/>
  <c r="AB39" i="1"/>
  <c r="AG16" i="1"/>
  <c r="AF16" i="1"/>
  <c r="AE16" i="1"/>
  <c r="AF14" i="1"/>
  <c r="AF13" i="1"/>
  <c r="AF12" i="1"/>
  <c r="AF11" i="1"/>
  <c r="AF10" i="1"/>
  <c r="Y32" i="1" l="1"/>
  <c r="N7" i="2"/>
  <c r="Y7" i="2" l="1"/>
  <c r="AE17" i="1"/>
  <c r="AF3" i="1" l="1"/>
  <c r="AF5" i="1"/>
  <c r="L12" i="1"/>
  <c r="Z18" i="1"/>
  <c r="X20" i="1"/>
  <c r="Z22" i="1"/>
  <c r="F12" i="1"/>
  <c r="AF4" i="1"/>
  <c r="W18" i="1"/>
  <c r="Y18" i="1"/>
  <c r="W19" i="1"/>
  <c r="Y19" i="1"/>
  <c r="V20" i="1"/>
  <c r="Y20" i="1"/>
  <c r="V21" i="1"/>
  <c r="Z21" i="1"/>
  <c r="X22" i="1"/>
  <c r="X12" i="1"/>
  <c r="X21" i="1"/>
  <c r="R12" i="1"/>
  <c r="V18" i="1"/>
  <c r="X18" i="1"/>
  <c r="V19" i="1"/>
  <c r="X19" i="1"/>
  <c r="Z19" i="1"/>
  <c r="W20" i="1"/>
  <c r="Z20" i="1"/>
  <c r="W21" i="1"/>
  <c r="Y21" i="1"/>
  <c r="V22" i="1"/>
  <c r="W22" i="1"/>
  <c r="Y22" i="1"/>
  <c r="AF6" i="1"/>
  <c r="F28" i="1" l="1"/>
</calcChain>
</file>

<file path=xl/sharedStrings.xml><?xml version="1.0" encoding="utf-8"?>
<sst xmlns="http://schemas.openxmlformats.org/spreadsheetml/2006/main" count="180" uniqueCount="149">
  <si>
    <t>Risk ID</t>
  </si>
  <si>
    <t>Risk title</t>
  </si>
  <si>
    <t>Scenario fact / source</t>
  </si>
  <si>
    <t>Unverified assumptions</t>
  </si>
  <si>
    <t>Scope / asset</t>
  </si>
  <si>
    <t>Category</t>
  </si>
  <si>
    <t>Likelihood</t>
  </si>
  <si>
    <t>Impact</t>
  </si>
  <si>
    <t>Inherent score</t>
  </si>
  <si>
    <t>Inherent rating</t>
  </si>
  <si>
    <t>Proposed owner</t>
  </si>
  <si>
    <t>Treatment</t>
  </si>
  <si>
    <t>Validation status</t>
  </si>
  <si>
    <t>Workflow status</t>
  </si>
  <si>
    <t>Evidence IDs</t>
  </si>
  <si>
    <t>Residual likelihood</t>
  </si>
  <si>
    <t>Residual impact</t>
  </si>
  <si>
    <t>Residual score</t>
  </si>
  <si>
    <t>Residual rating</t>
  </si>
  <si>
    <t>Assessment notes</t>
  </si>
  <si>
    <t>Dashboard included</t>
  </si>
  <si>
    <t>R-001</t>
  </si>
  <si>
    <t>Missing MFA</t>
  </si>
  <si>
    <t>Fictional Sentinel Defense Solutions scenario: missing MFA. Supplied scenario values: likelihood 3, impact 4.</t>
  </si>
  <si>
    <t>Affected accounts, applications, exceptions, duration, exploitability and business exposure are unverified.</t>
  </si>
  <si>
    <t>Pending scope confirmation</t>
  </si>
  <si>
    <t>Identity and access</t>
  </si>
  <si>
    <t>Security owner — proposed</t>
  </si>
  <si>
    <t>Mitigate</t>
  </si>
  <si>
    <t>Pending validation</t>
  </si>
  <si>
    <t>Proposed</t>
  </si>
  <si>
    <t>Simulated assessment only. Owner and treatment are proposals; residual risk is unassessed. Confirm scope and collect evidence before validating.</t>
  </si>
  <si>
    <t>Control ID</t>
  </si>
  <si>
    <t>Proposed control objective</t>
  </si>
  <si>
    <t>Design test plan</t>
  </si>
  <si>
    <t>Operating test plan</t>
  </si>
  <si>
    <t>Design result</t>
  </si>
  <si>
    <t>Operating result</t>
  </si>
  <si>
    <t>Assessor</t>
  </si>
  <si>
    <t>Assessment date</t>
  </si>
  <si>
    <t>Facts / assumptions / notes</t>
  </si>
  <si>
    <t>C-001</t>
  </si>
  <si>
    <t>Proposed: require MFA for confirmed in-scope accounts and applications.</t>
  </si>
  <si>
    <t>Obtain MFA policy, enforcement configuration and documented exceptions; compare approved scope to configured coverage.</t>
  </si>
  <si>
    <t>After scope confirmation, sample dated authentication and enforcement records; inspect bypasses and exceptions over an agreed period.</t>
  </si>
  <si>
    <t>Not assessed</t>
  </si>
  <si>
    <t>All control details and tests are proposals. No control failure or effectiveness conclusion has been validated.</t>
  </si>
  <si>
    <t>Evidence ID</t>
  </si>
  <si>
    <t>Requested evidence</t>
  </si>
  <si>
    <t>Purpose / proposed coverage</t>
  </si>
  <si>
    <t>Custodian</t>
  </si>
  <si>
    <t>Request date</t>
  </si>
  <si>
    <t>Due date</t>
  </si>
  <si>
    <t>Received date</t>
  </si>
  <si>
    <t>Status</t>
  </si>
  <si>
    <t>Evidence location</t>
  </si>
  <si>
    <t>Reviewer</t>
  </si>
  <si>
    <t>Review notes</t>
  </si>
  <si>
    <t>E-001</t>
  </si>
  <si>
    <t>Proposed evidence package: MFA policy, enforcement configuration, exception register and dated authentication records.</t>
  </si>
  <si>
    <t>Confirm scope; evaluate design and operating effectiveness. Sampling population and period remain unverified.</t>
  </si>
  <si>
    <t>Planned request</t>
  </si>
  <si>
    <t>No evidence received or reviewed. E-001 identifies a planned request only.</t>
  </si>
  <si>
    <t>Action ID</t>
  </si>
  <si>
    <t>Proposed action</t>
  </si>
  <si>
    <t>Approval status</t>
  </si>
  <si>
    <t>Target date</t>
  </si>
  <si>
    <t>Completed date</t>
  </si>
  <si>
    <t>Closure evidence IDs</t>
  </si>
  <si>
    <t>Closure validation</t>
  </si>
  <si>
    <t>Days overdue</t>
  </si>
  <si>
    <t>Notes / dependencies</t>
  </si>
  <si>
    <t>A-001</t>
  </si>
  <si>
    <t>Confirm scope and exceptions, then propose MFA enforcement and test coverage with the security team.</t>
  </si>
  <si>
    <t>Pending approval</t>
  </si>
  <si>
    <t>Mitigate is the proposed treatment. Obtain owner acceptance and an approved plan before scheduling. Closure requires evidence and independent review.</t>
  </si>
  <si>
    <t>Level</t>
  </si>
  <si>
    <t>Likelihood (proposed)</t>
  </si>
  <si>
    <t>Impact (proposed)</t>
  </si>
  <si>
    <t>Interpretation</t>
  </si>
  <si>
    <t>Rare</t>
  </si>
  <si>
    <t>Minimal</t>
  </si>
  <si>
    <t>Limited disruption</t>
  </si>
  <si>
    <t>Unlikely</t>
  </si>
  <si>
    <t>Minor</t>
  </si>
  <si>
    <t>Manageable local disruption</t>
  </si>
  <si>
    <t>Possible</t>
  </si>
  <si>
    <t>Moderate</t>
  </si>
  <si>
    <t>Meaningful service or business disruption</t>
  </si>
  <si>
    <t>Likely</t>
  </si>
  <si>
    <t>Major</t>
  </si>
  <si>
    <t>Material operational or information harm</t>
  </si>
  <si>
    <t>Almost certain</t>
  </si>
  <si>
    <t>Severe</t>
  </si>
  <si>
    <t>Extensive or sustained business harm</t>
  </si>
  <si>
    <t>Band</t>
  </si>
  <si>
    <t>Minimum score</t>
  </si>
  <si>
    <t>Maximum score</t>
  </si>
  <si>
    <t>High</t>
  </si>
  <si>
    <t>Critical</t>
  </si>
  <si>
    <t>Low</t>
  </si>
  <si>
    <t>R-001 supplied scenario: likelihood 3 × impact 4 = 12 High. These are simulated inputs, not a validated measurement of the organization. Rating boundaries above are proposed methodology assumptions.</t>
  </si>
  <si>
    <t>Design effectiveness: the policy and configuration could meet the objective if followed. Operating effectiveness: dated evidence shows the control actually worked over an agreed period. Configuration alone does not establish consistent operation.</t>
  </si>
  <si>
    <t>Validation requires a confirmed scope, traceable evidence, documented testing and reviewer approval. A validated status is a user-entered conclusion and must be supported. Proposed owners, treatments and target dates require approval. Risk acceptance requires an authorized decision.</t>
  </si>
  <si>
    <t>01  Start with scope</t>
  </si>
  <si>
    <t>Confirm which applications, accounts and business processes the missing MFA scenario covers. Record confirmed facts and their source separately from assumptions in Risk Register. The only initial source is the user-provided fictional scenario.</t>
  </si>
  <si>
    <t>02  Edit the assessment</t>
  </si>
  <si>
    <t>Use the editable input columns. Scores and ratings calculate automatically. Likelihood and impact accept whole numbers 1–5. Supply both values; blank residual values remain unassessed. Scoring thresholds are proposed and editable on Scoring Methodology.</t>
  </si>
  <si>
    <t>03  Gather and assess evidence</t>
  </si>
  <si>
    <t>E-001 is a planned request, not collected evidence. Fill in real dates, custodian, secure evidence location and reviewer only when known. Use C-001 to document design and operating tests separately. Mark a conclusion validated only after evidence and review support it.</t>
  </si>
  <si>
    <t>04  Agree the response</t>
  </si>
  <si>
    <t>Confirm the proposed security owner and mitigate treatment. Obtain approval, then set a target date. Enter completion only after work occurs; closure validation requires reviewed evidence. Days overdue uses the current date and stays blank without a target.</t>
  </si>
  <si>
    <t>05  Explore the dashboard</t>
  </si>
  <si>
    <t>06  Add records and keep formulas</t>
  </si>
  <si>
    <t>100 prepared rows are available on each tracker (rows 7–106). Fill an existing blank row and retain formula columns. Risk IDs must be unique; use stable IDs to link the trackers. Beyond row 106, extend tables, formulas, validation and dashboard ranges together.</t>
  </si>
  <si>
    <t>07  Input and formula cues</t>
  </si>
  <si>
    <t>Pale blue fields are editable; gray fields calculate. Fixed-choice fields have dropdowns. Ratings use green for Low, yellow for Moderate, red for High and dark red for Critical. Pasted values can bypass validation, so review them. Navigation shapes and the portfolio RQ shield are editable; no macros or passwords are required.</t>
  </si>
  <si>
    <t>08  Substantive inputs still needed</t>
  </si>
  <si>
    <t>Actual affected scope; supporting evidence and assessment period; assessor and reviewer; approved owner and treatment; approved action and target date; tested residual likelihood and impact. Leave these blank or explicitly pending until supplied.</t>
  </si>
  <si>
    <t>Rating</t>
  </si>
  <si>
    <t>Risks</t>
  </si>
  <si>
    <t>GRC PROJECT 01  /  EXECUTIVE WORKSPACE  /  TRAINING SCENARIO</t>
  </si>
  <si>
    <t>VALIDATION STATUS</t>
  </si>
  <si>
    <t>INHERENT RATING</t>
  </si>
  <si>
    <t>All</t>
  </si>
  <si>
    <t>Risk filters apply to the risk cards, distribution and heatmap. Evidence and action summaries include all records.</t>
  </si>
  <si>
    <t>Evidence stage</t>
  </si>
  <si>
    <t>Requests</t>
  </si>
  <si>
    <t>RISKS IN VIEW</t>
  </si>
  <si>
    <t>HIGH / CRITICAL</t>
  </si>
  <si>
    <t>VALIDATED IN VIEW</t>
  </si>
  <si>
    <t>PENDING VALIDATION</t>
  </si>
  <si>
    <t>Planned</t>
  </si>
  <si>
    <t>Requested</t>
  </si>
  <si>
    <t>Received</t>
  </si>
  <si>
    <t>In review</t>
  </si>
  <si>
    <t>Reviewed</t>
  </si>
  <si>
    <t>INHERENT RISK DISTRIBUTION</t>
  </si>
  <si>
    <t>LIKELIHOOD × IMPACT</t>
  </si>
  <si>
    <t>Rows: likelihood 5 → 1. Columns: impact 1 → 5.
Each cell counts risks; color reflects the score band.</t>
  </si>
  <si>
    <t>EVIDENCE COLLECTION</t>
  </si>
  <si>
    <t>R-001  /  ASSESSMENT SNAPSHOT</t>
  </si>
  <si>
    <t>Pending validation. Security owner and mitigate treatment remain proposed. Scope, evidence and residual risk await assessment.</t>
  </si>
  <si>
    <t>VALIDATED EVIDENCE</t>
  </si>
  <si>
    <t>OVERDUE ACTIONS</t>
  </si>
  <si>
    <t>NEXT ASSESSMENT  /  Confirm MFA scope and ownership; obtain policy, configuration, exceptions and dated authentication evidence. Approve a remediation plan and target date. R-001 remains simulated; no validated finding or verified closure is asserted.</t>
  </si>
  <si>
    <t>GRC PROJECT 01  /  TRAINING WORKSPACE  /  SIMULATED R-001  /  EVIDENCE AND APPROVAL PENDING</t>
  </si>
  <si>
    <t>Proposed training rubric — requires project approval. Inherent and residual score = likelihood × impact. No residual score is estimated.</t>
  </si>
  <si>
    <t>Use the left sidebar on every page. The current section is highlighted in cyan; Dashboard returns to the overview. Four dedicated columns keep navigation clear of the data. Bottom worksheet tabs remain hidden. Mint dropdowns filter risk views. Native charts include hidden source data and update when inputs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</si>
</sst>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1">
    <font>
      <sz val="11"/>
      <name val="Carlito"/>
    </font>
    <font>
      <sz val="11"/>
      <color rgb="FF17243B"/>
      <name val="Arial"/>
    </font>
    <font>
      <b/>
      <sz val="17"/>
      <color rgb="FFFFFFFF"/>
      <name val="Arial"/>
    </font>
    <font>
      <sz val="11"/>
      <color rgb="FFAABAD0"/>
      <name val="Arial"/>
    </font>
    <font>
      <b/>
      <sz val="11"/>
      <color rgb="FFFFFFFF"/>
      <name val="Arial"/>
    </font>
    <font>
      <b/>
      <sz val="17"/>
      <color rgb="FF0B1426"/>
      <name val="Arial"/>
    </font>
    <font>
      <sz val="11"/>
      <color rgb="FF0B1426"/>
      <name val="Arial"/>
    </font>
    <font>
      <sz val="11"/>
      <color rgb="FFFFFFFF"/>
      <name val="Arial"/>
    </font>
    <font>
      <b/>
      <sz val="12"/>
      <color rgb="FF0B1426"/>
      <name val="Arial"/>
    </font>
    <font>
      <sz val="11"/>
      <color rgb="FFEAF6FF"/>
      <name val="Arial"/>
    </font>
    <font>
      <b/>
      <sz val="25"/>
      <color rgb="FFEAF6FF"/>
      <name val="Arial"/>
    </font>
    <font>
      <sz val="10"/>
      <color rgb="FFA5BDD1"/>
      <name val="Arial"/>
    </font>
    <font>
      <sz val="11"/>
      <color rgb="FF081323"/>
      <name val="Arial"/>
    </font>
    <font>
      <b/>
      <sz val="23"/>
      <color rgb="FFEAF6FF"/>
      <name val="Arial"/>
    </font>
    <font>
      <b/>
      <sz val="23"/>
      <color rgb="FFFF8B96"/>
      <name val="Arial"/>
    </font>
    <font>
      <b/>
      <sz val="13"/>
      <color rgb="FFEAF6FF"/>
      <name val="Arial"/>
    </font>
    <font>
      <b/>
      <sz val="14"/>
      <color rgb="FFEAF6FF"/>
      <name val="Arial"/>
    </font>
    <font>
      <b/>
      <sz val="16"/>
      <color rgb="FFEAF6FF"/>
      <name val="Arial"/>
    </font>
    <font>
      <sz val="11"/>
      <color rgb="FFA5BDD1"/>
      <name val="Arial"/>
    </font>
    <font>
      <sz val="11"/>
      <color rgb="FF17243B"/>
      <name val="Arial"/>
    </font>
    <font>
      <b/>
      <sz val="10"/>
      <color rgb="FFA5BDD1"/>
      <name val="Arial"/>
      <family val="2"/>
    </font>
  </fonts>
  <fills count="13">
    <fill>
      <patternFill patternType="none"/>
    </fill>
    <fill>
      <patternFill patternType="gray125"/>
    </fill>
    <fill>
      <patternFill patternType="solid">
        <fgColor rgb="FF17243B"/>
      </patternFill>
    </fill>
    <fill>
      <patternFill patternType="solid">
        <fgColor rgb="FFF4F7FB"/>
      </patternFill>
    </fill>
    <fill>
      <patternFill patternType="solid">
        <fgColor rgb="FFE2E8F0"/>
      </patternFill>
    </fill>
    <fill>
      <patternFill patternType="solid">
        <fgColor rgb="FFF0F5FA"/>
      </patternFill>
    </fill>
    <fill>
      <patternFill patternType="solid">
        <fgColor rgb="FFFFFFFF"/>
      </patternFill>
    </fill>
    <fill>
      <patternFill patternType="solid">
        <fgColor rgb="FF081323"/>
      </patternFill>
    </fill>
    <fill>
      <patternFill patternType="solid">
        <fgColor rgb="FFC7FFF4"/>
      </patternFill>
    </fill>
    <fill>
      <patternFill patternType="solid">
        <fgColor rgb="FF14283E"/>
      </patternFill>
    </fill>
    <fill>
      <patternFill patternType="solid">
        <fgColor rgb="FFE93647"/>
      </patternFill>
    </fill>
    <fill>
      <patternFill patternType="solid">
        <fgColor rgb="FF081323"/>
      </patternFill>
    </fill>
    <fill>
      <patternFill patternType="solid">
        <fgColor rgb="FF10263A"/>
        <bgColor indexed="64"/>
      </patternFill>
    </fill>
  </fills>
  <borders count="9">
    <border>
      <left/>
      <right/>
      <top/>
      <bottom/>
      <diagonal/>
    </border>
    <border>
      <left style="thin">
        <color rgb="FF24445E"/>
      </left>
      <right/>
      <top style="thin">
        <color rgb="FF24445E"/>
      </top>
      <bottom/>
      <diagonal/>
    </border>
    <border>
      <left/>
      <right/>
      <top style="thin">
        <color rgb="FF24445E"/>
      </top>
      <bottom/>
      <diagonal/>
    </border>
    <border>
      <left/>
      <right style="thin">
        <color rgb="FF24445E"/>
      </right>
      <top style="thin">
        <color rgb="FF24445E"/>
      </top>
      <bottom/>
      <diagonal/>
    </border>
    <border>
      <left style="thin">
        <color rgb="FF24445E"/>
      </left>
      <right/>
      <top/>
      <bottom/>
      <diagonal/>
    </border>
    <border>
      <left/>
      <right style="thin">
        <color rgb="FF24445E"/>
      </right>
      <top/>
      <bottom/>
      <diagonal/>
    </border>
    <border>
      <left style="thin">
        <color rgb="FF24445E"/>
      </left>
      <right/>
      <top/>
      <bottom style="thin">
        <color rgb="FF24445E"/>
      </bottom>
      <diagonal/>
    </border>
    <border>
      <left/>
      <right/>
      <top/>
      <bottom style="thin">
        <color rgb="FF24445E"/>
      </bottom>
      <diagonal/>
    </border>
    <border>
      <left/>
      <right style="thin">
        <color rgb="FF24445E"/>
      </right>
      <top/>
      <bottom style="thin">
        <color rgb="FF24445E"/>
      </bottom>
      <diagonal/>
    </border>
  </borders>
  <cellStyleXfs count="1">
    <xf numFmtId="0" fontId="0" fillId="0" borderId="0"/>
  </cellStyleXfs>
  <cellXfs count="54">
    <xf numFmtId="0" fontId="0" fillId="0" borderId="0" xfId="0"/>
    <xf numFmtId="0" fontId="1" fillId="0" borderId="0" xfId="0" applyFont="1" applyAlignment="1">
      <alignment vertical="center"/>
    </xf>
    <xf numFmtId="0" fontId="4"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164" fontId="1" fillId="3" borderId="0" xfId="0" applyNumberFormat="1" applyFont="1" applyFill="1" applyAlignment="1">
      <alignment vertical="center" wrapText="1"/>
    </xf>
    <xf numFmtId="0" fontId="7" fillId="2" borderId="0" xfId="0" applyFont="1" applyFill="1" applyAlignment="1">
      <alignment vertical="center"/>
    </xf>
    <xf numFmtId="0" fontId="7" fillId="2" borderId="0" xfId="0" applyFont="1" applyFill="1" applyAlignment="1">
      <alignment vertical="center" wrapText="1"/>
    </xf>
    <xf numFmtId="0" fontId="1" fillId="0" borderId="0" xfId="0" applyFont="1" applyAlignment="1">
      <alignment vertical="center" wrapText="1"/>
    </xf>
    <xf numFmtId="0" fontId="9" fillId="7" borderId="0" xfId="0" applyFont="1" applyFill="1" applyAlignment="1">
      <alignment vertical="center"/>
    </xf>
    <xf numFmtId="0" fontId="9" fillId="7" borderId="0" xfId="0" applyFont="1" applyFill="1" applyAlignment="1">
      <alignment horizontal="center" vertical="center"/>
    </xf>
    <xf numFmtId="0" fontId="16" fillId="9" borderId="0" xfId="0" applyFont="1" applyFill="1" applyAlignment="1">
      <alignment horizontal="center" vertical="center"/>
    </xf>
    <xf numFmtId="0" fontId="9" fillId="11" borderId="0" xfId="0" applyFont="1" applyFill="1" applyAlignment="1">
      <alignment vertical="center"/>
    </xf>
    <xf numFmtId="0" fontId="10" fillId="11" borderId="0" xfId="0" applyFont="1" applyFill="1" applyAlignment="1">
      <alignment vertical="center" wrapText="1"/>
    </xf>
    <xf numFmtId="0" fontId="2" fillId="11" borderId="0" xfId="0" applyFont="1" applyFill="1" applyAlignment="1">
      <alignment vertical="center" wrapText="1"/>
    </xf>
    <xf numFmtId="0" fontId="3" fillId="11" borderId="0" xfId="0" applyFont="1" applyFill="1" applyAlignment="1">
      <alignment vertical="center" wrapText="1"/>
    </xf>
    <xf numFmtId="0" fontId="1" fillId="11" borderId="0" xfId="0" applyFont="1" applyFill="1" applyAlignment="1">
      <alignment vertical="center"/>
    </xf>
    <xf numFmtId="0" fontId="5" fillId="11" borderId="0" xfId="0" applyFont="1" applyFill="1" applyAlignment="1">
      <alignment vertical="center" wrapText="1"/>
    </xf>
    <xf numFmtId="0" fontId="0" fillId="12" borderId="0" xfId="0" applyFill="1"/>
    <xf numFmtId="0" fontId="11" fillId="7" borderId="0" xfId="0" applyFont="1" applyFill="1" applyAlignment="1">
      <alignment vertical="center" wrapText="1"/>
    </xf>
    <xf numFmtId="0" fontId="12" fillId="8" borderId="0" xfId="0" applyFont="1" applyFill="1" applyAlignment="1">
      <alignment vertical="center" wrapText="1"/>
    </xf>
    <xf numFmtId="0" fontId="13" fillId="9" borderId="4" xfId="0" applyFont="1" applyFill="1" applyBorder="1" applyAlignment="1">
      <alignment vertical="center" wrapText="1"/>
    </xf>
    <xf numFmtId="0" fontId="13" fillId="9" borderId="0" xfId="0" applyFont="1" applyFill="1" applyAlignment="1">
      <alignment vertical="center" wrapText="1"/>
    </xf>
    <xf numFmtId="0" fontId="13" fillId="9" borderId="5" xfId="0" applyFont="1" applyFill="1" applyBorder="1" applyAlignment="1">
      <alignment vertical="center" wrapText="1"/>
    </xf>
    <xf numFmtId="0" fontId="13" fillId="9" borderId="6"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4" fillId="9" borderId="4" xfId="0" applyFont="1" applyFill="1" applyBorder="1" applyAlignment="1">
      <alignment vertical="center" wrapText="1"/>
    </xf>
    <xf numFmtId="0" fontId="14" fillId="9" borderId="0" xfId="0" applyFont="1" applyFill="1" applyAlignment="1">
      <alignment vertical="center" wrapText="1"/>
    </xf>
    <xf numFmtId="0" fontId="14" fillId="9" borderId="5" xfId="0" applyFont="1" applyFill="1" applyBorder="1" applyAlignment="1">
      <alignment vertical="center" wrapText="1"/>
    </xf>
    <xf numFmtId="0" fontId="14" fillId="9" borderId="6" xfId="0" applyFont="1" applyFill="1" applyBorder="1" applyAlignment="1">
      <alignment vertical="center" wrapText="1"/>
    </xf>
    <xf numFmtId="0" fontId="14" fillId="9" borderId="7" xfId="0" applyFont="1" applyFill="1" applyBorder="1" applyAlignment="1">
      <alignment vertical="center" wrapText="1"/>
    </xf>
    <xf numFmtId="0" fontId="14" fillId="9" borderId="8" xfId="0" applyFont="1" applyFill="1" applyBorder="1" applyAlignment="1">
      <alignment vertical="center" wrapText="1"/>
    </xf>
    <xf numFmtId="0" fontId="15" fillId="7" borderId="0" xfId="0" applyFont="1" applyFill="1" applyAlignment="1">
      <alignment vertical="center" wrapText="1"/>
    </xf>
    <xf numFmtId="0" fontId="17" fillId="9" borderId="0" xfId="0" applyFont="1" applyFill="1" applyAlignment="1">
      <alignment vertical="center" wrapText="1"/>
    </xf>
    <xf numFmtId="0" fontId="17" fillId="10" borderId="0" xfId="0" applyFont="1" applyFill="1" applyAlignment="1">
      <alignment vertical="center" wrapText="1"/>
    </xf>
    <xf numFmtId="0" fontId="18" fillId="9" borderId="0" xfId="0" applyFont="1" applyFill="1" applyAlignment="1">
      <alignment vertical="center" wrapText="1"/>
    </xf>
    <xf numFmtId="0" fontId="6" fillId="0" borderId="0" xfId="0" applyFont="1" applyAlignment="1">
      <alignment vertical="center" wrapText="1"/>
    </xf>
    <xf numFmtId="0" fontId="19" fillId="0" borderId="0" xfId="0" applyFont="1" applyAlignment="1">
      <alignment vertical="center" wrapText="1"/>
    </xf>
    <xf numFmtId="0" fontId="6" fillId="6" borderId="0" xfId="0" applyFont="1" applyFill="1" applyAlignment="1">
      <alignment vertical="center" wrapText="1"/>
    </xf>
    <xf numFmtId="0" fontId="8" fillId="0" borderId="0" xfId="0" applyFont="1" applyAlignment="1">
      <alignment vertical="center" wrapText="1"/>
    </xf>
    <xf numFmtId="0" fontId="6" fillId="5" borderId="0" xfId="0" applyFont="1" applyFill="1" applyAlignment="1">
      <alignment vertical="center" wrapText="1"/>
    </xf>
    <xf numFmtId="0" fontId="1" fillId="5" borderId="0" xfId="0" applyFont="1" applyFill="1" applyAlignment="1">
      <alignment vertical="center" wrapText="1"/>
    </xf>
    <xf numFmtId="0" fontId="20" fillId="9" borderId="1" xfId="0" applyFont="1" applyFill="1" applyBorder="1" applyAlignment="1">
      <alignment vertical="center" wrapText="1"/>
    </xf>
    <xf numFmtId="0" fontId="20" fillId="9" borderId="2" xfId="0" applyFont="1" applyFill="1" applyBorder="1" applyAlignment="1">
      <alignment vertical="center" wrapText="1"/>
    </xf>
    <xf numFmtId="0" fontId="20" fillId="9" borderId="3" xfId="0" applyFont="1" applyFill="1" applyBorder="1" applyAlignment="1">
      <alignment vertical="center" wrapText="1"/>
    </xf>
    <xf numFmtId="0" fontId="20" fillId="9" borderId="4" xfId="0" applyFont="1" applyFill="1" applyBorder="1" applyAlignment="1">
      <alignment vertical="center" wrapText="1"/>
    </xf>
    <xf numFmtId="0" fontId="20" fillId="9" borderId="0" xfId="0" applyFont="1" applyFill="1" applyAlignment="1">
      <alignment vertical="center" wrapText="1"/>
    </xf>
    <xf numFmtId="0" fontId="20" fillId="9" borderId="5" xfId="0" applyFont="1" applyFill="1" applyBorder="1" applyAlignment="1">
      <alignment vertical="center" wrapText="1"/>
    </xf>
    <xf numFmtId="0" fontId="20" fillId="7" borderId="0" xfId="0" applyFont="1" applyFill="1" applyAlignment="1">
      <alignment vertical="center" wrapText="1"/>
    </xf>
    <xf numFmtId="0" fontId="20" fillId="7" borderId="0" xfId="0" applyFont="1" applyFill="1" applyAlignment="1">
      <alignment horizontal="center" vertical="center" wrapText="1"/>
    </xf>
    <xf numFmtId="0" fontId="20" fillId="7" borderId="0" xfId="0" applyFont="1" applyFill="1" applyAlignment="1">
      <alignment vertical="center" wrapText="1"/>
    </xf>
    <xf numFmtId="0" fontId="20" fillId="7" borderId="0" xfId="0" applyFont="1" applyFill="1" applyAlignment="1">
      <alignment horizontal="left" vertical="center" wrapText="1"/>
    </xf>
    <xf numFmtId="0" fontId="12" fillId="8" borderId="0" xfId="0" applyFont="1" applyFill="1" applyAlignment="1">
      <alignment horizontal="left" vertical="center" wrapText="1"/>
    </xf>
  </cellXfs>
  <cellStyles count="1">
    <cellStyle name="Normal" xfId="0" builtinId="0"/>
  </cellStyles>
  <dxfs count="40">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475569"/>
      </font>
      <fill>
        <patternFill>
          <bgColor rgb="FFE2E8F0"/>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FFFFFF"/>
      </font>
      <fill>
        <patternFill>
          <bgColor rgb="FF7F1D1D"/>
        </patternFill>
      </fill>
    </dxf>
    <dxf>
      <font>
        <color rgb="FFFFFFFF"/>
      </font>
      <fill>
        <patternFill>
          <bgColor rgb="FFDC2626"/>
        </patternFill>
      </fill>
    </dxf>
    <dxf>
      <font>
        <color rgb="FF713F12"/>
      </font>
      <fill>
        <patternFill>
          <bgColor rgb="FFFDE047"/>
        </patternFill>
      </fill>
    </dxf>
    <dxf>
      <font>
        <color rgb="FFFFFFFF"/>
      </font>
      <fill>
        <patternFill>
          <bgColor rgb="FF16653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Inherent risk distribution — filtered risks</a:t>
            </a:r>
          </a:p>
        </c:rich>
      </c:tx>
      <c:overlay val="0"/>
    </c:title>
    <c:autoTitleDeleted val="0"/>
    <c:plotArea>
      <c:layout/>
      <c:barChart>
        <c:barDir val="col"/>
        <c:grouping val="clustered"/>
        <c:varyColors val="0"/>
        <c:ser>
          <c:idx val="0"/>
          <c:order val="0"/>
          <c:tx>
            <c:v>Risks</c:v>
          </c:tx>
          <c:spPr>
            <a:solidFill>
              <a:srgbClr val="F04452"/>
            </a:solidFill>
          </c:spPr>
          <c:invertIfNegative val="0"/>
          <c:cat>
            <c:strRef>
              <c:f>Dashboard!$AE$3:$AE$6</c:f>
              <c:strCache>
                <c:ptCount val="4"/>
                <c:pt idx="0">
                  <c:v>Low</c:v>
                </c:pt>
                <c:pt idx="1">
                  <c:v>Moderate</c:v>
                </c:pt>
                <c:pt idx="2">
                  <c:v>High</c:v>
                </c:pt>
                <c:pt idx="3">
                  <c:v>Critical</c:v>
                </c:pt>
              </c:strCache>
            </c:strRef>
          </c:cat>
          <c:val>
            <c:numRef>
              <c:f>Dashboard!$AF$3:$AF$6</c:f>
              <c:numCache>
                <c:formatCode>General</c:formatCode>
                <c:ptCount val="4"/>
                <c:pt idx="0">
                  <c:v>0</c:v>
                </c:pt>
                <c:pt idx="1">
                  <c:v>0</c:v>
                </c:pt>
                <c:pt idx="2">
                  <c:v>1</c:v>
                </c:pt>
                <c:pt idx="3">
                  <c:v>0</c:v>
                </c:pt>
              </c:numCache>
            </c:numRef>
          </c:val>
          <c:extLst>
            <c:ext xmlns:c16="http://schemas.microsoft.com/office/drawing/2014/chart" uri="{C3380CC4-5D6E-409C-BE32-E72D297353CC}">
              <c16:uniqueId val="{00000000-9115-4590-8E20-505A5579E7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Evidence requests — all records</a:t>
            </a:r>
          </a:p>
        </c:rich>
      </c:tx>
      <c:overlay val="0"/>
    </c:title>
    <c:autoTitleDeleted val="0"/>
    <c:plotArea>
      <c:layout/>
      <c:barChart>
        <c:barDir val="col"/>
        <c:grouping val="clustered"/>
        <c:varyColors val="0"/>
        <c:ser>
          <c:idx val="0"/>
          <c:order val="0"/>
          <c:tx>
            <c:v>Requests</c:v>
          </c:tx>
          <c:spPr>
            <a:solidFill>
              <a:srgbClr val="0CBAB0"/>
            </a:solidFill>
          </c:spPr>
          <c:invertIfNegative val="0"/>
          <c:cat>
            <c:strRef>
              <c:f>Dashboard!$AE$10:$AE$14</c:f>
              <c:strCache>
                <c:ptCount val="5"/>
                <c:pt idx="0">
                  <c:v>Planned</c:v>
                </c:pt>
                <c:pt idx="1">
                  <c:v>Requested</c:v>
                </c:pt>
                <c:pt idx="2">
                  <c:v>Received</c:v>
                </c:pt>
                <c:pt idx="3">
                  <c:v>In review</c:v>
                </c:pt>
                <c:pt idx="4">
                  <c:v>Reviewed</c:v>
                </c:pt>
              </c:strCache>
            </c:strRef>
          </c:cat>
          <c:val>
            <c:numRef>
              <c:f>Dashboard!$AF$10:$AF$14</c:f>
              <c:numCache>
                <c:formatCode>General</c:formatCode>
                <c:ptCount val="5"/>
                <c:pt idx="0">
                  <c:v>1</c:v>
                </c:pt>
                <c:pt idx="1">
                  <c:v>0</c:v>
                </c:pt>
                <c:pt idx="2">
                  <c:v>0</c:v>
                </c:pt>
                <c:pt idx="3">
                  <c:v>0</c:v>
                </c:pt>
                <c:pt idx="4">
                  <c:v>0</c:v>
                </c:pt>
              </c:numCache>
            </c:numRef>
          </c:val>
          <c:extLst>
            <c:ext xmlns:c16="http://schemas.microsoft.com/office/drawing/2014/chart" uri="{C3380CC4-5D6E-409C-BE32-E72D297353CC}">
              <c16:uniqueId val="{00000000-A2B3-405B-8B4D-1FF1DD4ABC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hyperlink" Target="#'Scoring Methodology'!A1"/><Relationship Id="rId3" Type="http://schemas.openxmlformats.org/officeDocument/2006/relationships/hyperlink" Target="#'Dashboard'!A1"/><Relationship Id="rId7" Type="http://schemas.openxmlformats.org/officeDocument/2006/relationships/hyperlink" Target="#'Remediation Tracker'!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Evidence Tracker'!A1"/><Relationship Id="rId5" Type="http://schemas.openxmlformats.org/officeDocument/2006/relationships/hyperlink" Target="#'Control Assessment'!A1"/><Relationship Id="rId10" Type="http://schemas.openxmlformats.org/officeDocument/2006/relationships/image" Target="../media/image1.png"/><Relationship Id="rId4" Type="http://schemas.openxmlformats.org/officeDocument/2006/relationships/hyperlink" Target="#'Risk Register'!A1"/><Relationship Id="rId9" Type="http://schemas.openxmlformats.org/officeDocument/2006/relationships/hyperlink" Target="#'Instructions'!A1"/></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3.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4.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7.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drawing1.xml><?xml version="1.0" encoding="utf-8"?>
<xdr:wsDr xmlns:xdr="http://schemas.openxmlformats.org/drawingml/2006/spreadsheetDrawing" xmlns:a="http://schemas.openxmlformats.org/drawingml/2006/main">
  <xdr:twoCellAnchor>
    <xdr:from>
      <xdr:col>5</xdr:col>
      <xdr:colOff>0</xdr:colOff>
      <xdr:row>15</xdr:row>
      <xdr:rowOff>0</xdr:rowOff>
    </xdr:from>
    <xdr:to>
      <xdr:col>16</xdr:col>
      <xdr:colOff>0</xdr:colOff>
      <xdr:row>27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30</xdr:row>
      <xdr:rowOff>0</xdr:rowOff>
    </xdr:from>
    <xdr:to>
      <xdr:col>16</xdr:col>
      <xdr:colOff>0</xdr:colOff>
      <xdr:row>41</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3</xdr:col>
      <xdr:colOff>546100</xdr:colOff>
      <xdr:row>0</xdr:row>
      <xdr:rowOff>66675</xdr:rowOff>
    </xdr:from>
    <xdr:ext cx="12801600" cy="609600"/>
    <xdr:sp macro="" textlink="">
      <xdr:nvSpPr>
        <xdr:cNvPr id="4" name="TITLE|Sentinel Defense Solutions">
          <a:extLst>
            <a:ext uri="{FF2B5EF4-FFF2-40B4-BE49-F238E27FC236}">
              <a16:creationId xmlns:a16="http://schemas.microsoft.com/office/drawing/2014/main" id="{00000000-0008-0000-0000-000004000000}"/>
            </a:ext>
          </a:extLst>
        </xdr:cNvPr>
        <xdr:cNvSpPr>
          <a:spLocks noGrp="1"/>
        </xdr:cNvSpPr>
      </xdr:nvSpPr>
      <xdr:spPr>
        <a:xfrm>
          <a:off x="2222500" y="66675"/>
          <a:ext cx="12801600" cy="609600"/>
        </a:xfrm>
        <a:prstGeom prst="rect">
          <a:avLst/>
        </a:prstGeom>
        <a:solidFill>
          <a:srgbClr val="081323"/>
        </a:solidFill>
        <a:ln w="0">
          <a:solidFill>
            <a:srgbClr val="081323"/>
          </a:solidFill>
        </a:ln>
      </xdr:spPr>
      <xdr:txBody>
        <a:bodyPr wrap="square" lIns="0" tIns="0" rIns="0" bIns="0" anchor="ctr"/>
        <a:lstStyle/>
        <a:p>
          <a:pPr algn="ctr"/>
          <a:r>
            <a:rPr lang="en-US" sz="2800" b="1">
              <a:solidFill>
                <a:srgbClr val="EAF6FF"/>
              </a:solidFill>
              <a:latin typeface="Arial"/>
            </a:rPr>
            <a:t>Sentinel Defense Solutions</a:t>
          </a:r>
        </a:p>
      </xdr:txBody>
    </xdr:sp>
    <xdr:clientData/>
  </xdr:oneCellAnchor>
  <xdr:oneCellAnchor>
    <xdr:from>
      <xdr:col>0</xdr:col>
      <xdr:colOff>76200</xdr:colOff>
      <xdr:row>3</xdr:row>
      <xdr:rowOff>19050</xdr:rowOff>
    </xdr:from>
    <xdr:ext cx="1981200" cy="381000"/>
    <xdr:sp macro="" textlink="">
      <xdr:nvSpPr>
        <xdr:cNvPr id="5" name="BRAND|CYBERSECURITY&#10;GRC PORTFOLIO">
          <a:extLst>
            <a:ext uri="{FF2B5EF4-FFF2-40B4-BE49-F238E27FC236}">
              <a16:creationId xmlns:a16="http://schemas.microsoft.com/office/drawing/2014/main" id="{00000000-0008-0000-0000-000005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6</xdr:row>
      <xdr:rowOff>19050</xdr:rowOff>
    </xdr:from>
    <xdr:ext cx="1866900" cy="457200"/>
    <xdr:sp macro="" textlink="">
      <xdr:nvSpPr>
        <xdr:cNvPr id="6" name="NAV|Dashboard|01  Dashboard" descr="Dashboard navigation: Dashboard (current page)">
          <a:hlinkClick xmlns:r="http://schemas.openxmlformats.org/officeDocument/2006/relationships" r:id="rId3" tooltip="Open Dashboard"/>
          <a:extLst>
            <a:ext uri="{FF2B5EF4-FFF2-40B4-BE49-F238E27FC236}">
              <a16:creationId xmlns:a16="http://schemas.microsoft.com/office/drawing/2014/main" id="{00000000-0008-0000-0000-000006000000}"/>
            </a:ext>
          </a:extLst>
        </xdr:cNvPr>
        <xdr:cNvSpPr>
          <a:spLocks noGrp="1"/>
        </xdr:cNvSpPr>
      </xdr:nvSpPr>
      <xdr:spPr>
        <a:xfrm>
          <a:off x="133350" y="16573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01  Dashboard</a:t>
          </a:r>
        </a:p>
      </xdr:txBody>
    </xdr:sp>
    <xdr:clientData/>
  </xdr:oneCellAnchor>
  <xdr:oneCellAnchor>
    <xdr:from>
      <xdr:col>0</xdr:col>
      <xdr:colOff>133350</xdr:colOff>
      <xdr:row>8</xdr:row>
      <xdr:rowOff>114300</xdr:rowOff>
    </xdr:from>
    <xdr:ext cx="1866900" cy="457200"/>
    <xdr:sp macro="" textlink="">
      <xdr:nvSpPr>
        <xdr:cNvPr id="7" name="NAV|Risk Register|02  Risk register" descr="Dashboard navigation: Risk Register">
          <a:hlinkClick xmlns:r="http://schemas.openxmlformats.org/officeDocument/2006/relationships" r:id="rId4" tooltip="Open Risk Register"/>
          <a:extLst>
            <a:ext uri="{FF2B5EF4-FFF2-40B4-BE49-F238E27FC236}">
              <a16:creationId xmlns:a16="http://schemas.microsoft.com/office/drawing/2014/main" id="{00000000-0008-0000-0000-000007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10</xdr:row>
      <xdr:rowOff>209550</xdr:rowOff>
    </xdr:from>
    <xdr:ext cx="1866900" cy="457200"/>
    <xdr:sp macro="" textlink="">
      <xdr:nvSpPr>
        <xdr:cNvPr id="8" name="NAV|Control Assessment|03  Controls" descr="Dashboard navigation: Control Assessment">
          <a:hlinkClick xmlns:r="http://schemas.openxmlformats.org/officeDocument/2006/relationships" r:id="rId5" tooltip="Open Control Assessment"/>
          <a:extLst>
            <a:ext uri="{FF2B5EF4-FFF2-40B4-BE49-F238E27FC236}">
              <a16:creationId xmlns:a16="http://schemas.microsoft.com/office/drawing/2014/main" id="{00000000-0008-0000-0000-000008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13</xdr:row>
      <xdr:rowOff>38100</xdr:rowOff>
    </xdr:from>
    <xdr:ext cx="1866900" cy="457200"/>
    <xdr:sp macro="" textlink="">
      <xdr:nvSpPr>
        <xdr:cNvPr id="9" name="NAV|Evidence Tracker|04  Evidence" descr="Dashboard navigation: Evidence Tracker">
          <a:hlinkClick xmlns:r="http://schemas.openxmlformats.org/officeDocument/2006/relationships" r:id="rId6" tooltip="Open Evidence Tracker"/>
          <a:extLst>
            <a:ext uri="{FF2B5EF4-FFF2-40B4-BE49-F238E27FC236}">
              <a16:creationId xmlns:a16="http://schemas.microsoft.com/office/drawing/2014/main" id="{00000000-0008-0000-0000-000009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15</xdr:row>
      <xdr:rowOff>133350</xdr:rowOff>
    </xdr:from>
    <xdr:ext cx="1866900" cy="457200"/>
    <xdr:sp macro="" textlink="">
      <xdr:nvSpPr>
        <xdr:cNvPr id="10" name="NAV|Remediation Tracker|05  Remediation" descr="Dashboard navigation: Remediation Tracker">
          <a:hlinkClick xmlns:r="http://schemas.openxmlformats.org/officeDocument/2006/relationships" r:id="rId7" tooltip="Open Remediation Tracker"/>
          <a:extLst>
            <a:ext uri="{FF2B5EF4-FFF2-40B4-BE49-F238E27FC236}">
              <a16:creationId xmlns:a16="http://schemas.microsoft.com/office/drawing/2014/main" id="{00000000-0008-0000-0000-00000A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17</xdr:row>
      <xdr:rowOff>228600</xdr:rowOff>
    </xdr:from>
    <xdr:ext cx="1866900" cy="457200"/>
    <xdr:sp macro="" textlink="">
      <xdr:nvSpPr>
        <xdr:cNvPr id="11" name="NAV|Scoring Methodology|06  Scoring" descr="Dashboard navigation: Scoring Methodology">
          <a:hlinkClick xmlns:r="http://schemas.openxmlformats.org/officeDocument/2006/relationships" r:id="rId8" tooltip="Open Scoring Methodology"/>
          <a:extLst>
            <a:ext uri="{FF2B5EF4-FFF2-40B4-BE49-F238E27FC236}">
              <a16:creationId xmlns:a16="http://schemas.microsoft.com/office/drawing/2014/main" id="{00000000-0008-0000-0000-00000B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20</xdr:row>
      <xdr:rowOff>57150</xdr:rowOff>
    </xdr:from>
    <xdr:ext cx="1866900" cy="457200"/>
    <xdr:sp macro="" textlink="">
      <xdr:nvSpPr>
        <xdr:cNvPr id="12" name="NAV|Instructions|07  Guide" descr="Dashboard navigation: Instructions">
          <a:hlinkClick xmlns:r="http://schemas.openxmlformats.org/officeDocument/2006/relationships" r:id="rId9" tooltip="Open Instructions"/>
          <a:extLst>
            <a:ext uri="{FF2B5EF4-FFF2-40B4-BE49-F238E27FC236}">
              <a16:creationId xmlns:a16="http://schemas.microsoft.com/office/drawing/2014/main" id="{00000000-0008-0000-0000-00000C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23</xdr:row>
      <xdr:rowOff>247650</xdr:rowOff>
    </xdr:from>
    <xdr:ext cx="1790700" cy="742950"/>
    <xdr:sp macro="" textlink="">
      <xdr:nvSpPr>
        <xdr:cNvPr id="13" name="BRAND|TRAINING SCENARIO&#10;R-001 remains simulated.&#10;Evidence pending validation.">
          <a:extLst>
            <a:ext uri="{FF2B5EF4-FFF2-40B4-BE49-F238E27FC236}">
              <a16:creationId xmlns:a16="http://schemas.microsoft.com/office/drawing/2014/main" id="{00000000-0008-0000-0000-00000D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4" name="bfa18cc7-891d-41d4-954e-f27aac79286d">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4</xdr:col>
      <xdr:colOff>228600</xdr:colOff>
      <xdr:row>0</xdr:row>
      <xdr:rowOff>66675</xdr:rowOff>
    </xdr:from>
    <xdr:ext cx="36029900" cy="609600"/>
    <xdr:sp macro="" textlink="">
      <xdr:nvSpPr>
        <xdr:cNvPr id="2" name="TITLE|RISK REGISTER">
          <a:extLst>
            <a:ext uri="{FF2B5EF4-FFF2-40B4-BE49-F238E27FC236}">
              <a16:creationId xmlns:a16="http://schemas.microsoft.com/office/drawing/2014/main" id="{00000000-0008-0000-0100-000002000000}"/>
            </a:ext>
          </a:extLst>
        </xdr:cNvPr>
        <xdr:cNvSpPr>
          <a:spLocks noGrp="1"/>
        </xdr:cNvSpPr>
      </xdr:nvSpPr>
      <xdr:spPr>
        <a:xfrm>
          <a:off x="2463800" y="66675"/>
          <a:ext cx="360299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RISK REGISTER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1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Risk Register navigation: Dashboard">
          <a:hlinkClick xmlns:r="http://schemas.openxmlformats.org/officeDocument/2006/relationships" r:id="rId1" tooltip="Open Dashboard"/>
          <a:extLst>
            <a:ext uri="{FF2B5EF4-FFF2-40B4-BE49-F238E27FC236}">
              <a16:creationId xmlns:a16="http://schemas.microsoft.com/office/drawing/2014/main" id="{00000000-0008-0000-01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Risk Register navigation: Risk Register (current page)">
          <a:hlinkClick xmlns:r="http://schemas.openxmlformats.org/officeDocument/2006/relationships" r:id="rId2" tooltip="Open Risk Register"/>
          <a:extLst>
            <a:ext uri="{FF2B5EF4-FFF2-40B4-BE49-F238E27FC236}">
              <a16:creationId xmlns:a16="http://schemas.microsoft.com/office/drawing/2014/main" id="{00000000-0008-0000-0100-000005000000}"/>
            </a:ext>
          </a:extLst>
        </xdr:cNvPr>
        <xdr:cNvSpPr>
          <a:spLocks noGrp="1"/>
        </xdr:cNvSpPr>
      </xdr:nvSpPr>
      <xdr:spPr>
        <a:xfrm>
          <a:off x="133350" y="22860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Risk Regist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1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Risk Regist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1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Risk Regist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1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Risk Regist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1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Risk Register navigation: Instructions">
          <a:hlinkClick xmlns:r="http://schemas.openxmlformats.org/officeDocument/2006/relationships" r:id="rId7" tooltip="Open Instructions"/>
          <a:extLst>
            <a:ext uri="{FF2B5EF4-FFF2-40B4-BE49-F238E27FC236}">
              <a16:creationId xmlns:a16="http://schemas.microsoft.com/office/drawing/2014/main" id="{00000000-0008-0000-01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1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314764c-c99c-4f3e-83f3-e3ec88542438">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4</xdr:col>
      <xdr:colOff>228600</xdr:colOff>
      <xdr:row>0</xdr:row>
      <xdr:rowOff>66675</xdr:rowOff>
    </xdr:from>
    <xdr:ext cx="25882600" cy="609600"/>
    <xdr:sp macro="" textlink="">
      <xdr:nvSpPr>
        <xdr:cNvPr id="2" name="TITLE|CONTROL ASSESSMENT">
          <a:extLst>
            <a:ext uri="{FF2B5EF4-FFF2-40B4-BE49-F238E27FC236}">
              <a16:creationId xmlns:a16="http://schemas.microsoft.com/office/drawing/2014/main" id="{00000000-0008-0000-0200-000002000000}"/>
            </a:ext>
          </a:extLst>
        </xdr:cNvPr>
        <xdr:cNvSpPr>
          <a:spLocks noGrp="1"/>
        </xdr:cNvSpPr>
      </xdr:nvSpPr>
      <xdr:spPr>
        <a:xfrm>
          <a:off x="2463800" y="66675"/>
          <a:ext cx="258826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CONTROL ASSESSMENT</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2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Control Assessment navigation: Dashboard">
          <a:hlinkClick xmlns:r="http://schemas.openxmlformats.org/officeDocument/2006/relationships" r:id="rId1" tooltip="Open Dashboard"/>
          <a:extLst>
            <a:ext uri="{FF2B5EF4-FFF2-40B4-BE49-F238E27FC236}">
              <a16:creationId xmlns:a16="http://schemas.microsoft.com/office/drawing/2014/main" id="{00000000-0008-0000-02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Control Assessment navigation: Risk Register">
          <a:hlinkClick xmlns:r="http://schemas.openxmlformats.org/officeDocument/2006/relationships" r:id="rId2" tooltip="Open Risk Register"/>
          <a:extLst>
            <a:ext uri="{FF2B5EF4-FFF2-40B4-BE49-F238E27FC236}">
              <a16:creationId xmlns:a16="http://schemas.microsoft.com/office/drawing/2014/main" id="{00000000-0008-0000-02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Control Assessment navigation: Control Assessment (current page)">
          <a:hlinkClick xmlns:r="http://schemas.openxmlformats.org/officeDocument/2006/relationships" r:id="rId3" tooltip="Open Control Assessment"/>
          <a:extLst>
            <a:ext uri="{FF2B5EF4-FFF2-40B4-BE49-F238E27FC236}">
              <a16:creationId xmlns:a16="http://schemas.microsoft.com/office/drawing/2014/main" id="{00000000-0008-0000-0200-000006000000}"/>
            </a:ext>
          </a:extLst>
        </xdr:cNvPr>
        <xdr:cNvSpPr>
          <a:spLocks noGrp="1"/>
        </xdr:cNvSpPr>
      </xdr:nvSpPr>
      <xdr:spPr>
        <a:xfrm>
          <a:off x="133350" y="29146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Control Assessment navigation: Evidence Tracker">
          <a:hlinkClick xmlns:r="http://schemas.openxmlformats.org/officeDocument/2006/relationships" r:id="rId4" tooltip="Open Evidence Tracker"/>
          <a:extLst>
            <a:ext uri="{FF2B5EF4-FFF2-40B4-BE49-F238E27FC236}">
              <a16:creationId xmlns:a16="http://schemas.microsoft.com/office/drawing/2014/main" id="{00000000-0008-0000-02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Control Assessment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2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Control Assessment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2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Control Assessment navigation: Instructions">
          <a:hlinkClick xmlns:r="http://schemas.openxmlformats.org/officeDocument/2006/relationships" r:id="rId7" tooltip="Open Instructions"/>
          <a:extLst>
            <a:ext uri="{FF2B5EF4-FFF2-40B4-BE49-F238E27FC236}">
              <a16:creationId xmlns:a16="http://schemas.microsoft.com/office/drawing/2014/main" id="{00000000-0008-0000-02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2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8a289db9-8feb-473b-96a0-67eff736751e">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4</xdr:col>
      <xdr:colOff>228600</xdr:colOff>
      <xdr:row>0</xdr:row>
      <xdr:rowOff>66675</xdr:rowOff>
    </xdr:from>
    <xdr:ext cx="28028900" cy="609600"/>
    <xdr:sp macro="" textlink="">
      <xdr:nvSpPr>
        <xdr:cNvPr id="2" name="TITLE|EVIDENCE TRACKER">
          <a:extLst>
            <a:ext uri="{FF2B5EF4-FFF2-40B4-BE49-F238E27FC236}">
              <a16:creationId xmlns:a16="http://schemas.microsoft.com/office/drawing/2014/main" id="{00000000-0008-0000-0300-000002000000}"/>
            </a:ext>
          </a:extLst>
        </xdr:cNvPr>
        <xdr:cNvSpPr>
          <a:spLocks noGrp="1"/>
        </xdr:cNvSpPr>
      </xdr:nvSpPr>
      <xdr:spPr>
        <a:xfrm>
          <a:off x="2463800" y="66675"/>
          <a:ext cx="280289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EVIDENCE TRACKER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3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Evidence Tracker navigation: Dashboard">
          <a:hlinkClick xmlns:r="http://schemas.openxmlformats.org/officeDocument/2006/relationships" r:id="rId1" tooltip="Open Dashboard"/>
          <a:extLst>
            <a:ext uri="{FF2B5EF4-FFF2-40B4-BE49-F238E27FC236}">
              <a16:creationId xmlns:a16="http://schemas.microsoft.com/office/drawing/2014/main" id="{00000000-0008-0000-03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Evidence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3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Evidence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3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Evidence Tracker navigation: Evidence Tracker (current page)">
          <a:hlinkClick xmlns:r="http://schemas.openxmlformats.org/officeDocument/2006/relationships" r:id="rId4" tooltip="Open Evidence Tracker"/>
          <a:extLst>
            <a:ext uri="{FF2B5EF4-FFF2-40B4-BE49-F238E27FC236}">
              <a16:creationId xmlns:a16="http://schemas.microsoft.com/office/drawing/2014/main" id="{00000000-0008-0000-0300-000007000000}"/>
            </a:ext>
          </a:extLst>
        </xdr:cNvPr>
        <xdr:cNvSpPr>
          <a:spLocks noGrp="1"/>
        </xdr:cNvSpPr>
      </xdr:nvSpPr>
      <xdr:spPr>
        <a:xfrm>
          <a:off x="133350" y="35433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Evidence Track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3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Evidence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3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Evidence Tracker navigation: Instructions">
          <a:hlinkClick xmlns:r="http://schemas.openxmlformats.org/officeDocument/2006/relationships" r:id="rId7" tooltip="Open Instructions"/>
          <a:extLst>
            <a:ext uri="{FF2B5EF4-FFF2-40B4-BE49-F238E27FC236}">
              <a16:creationId xmlns:a16="http://schemas.microsoft.com/office/drawing/2014/main" id="{00000000-0008-0000-03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3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b25e4016-d6cc-4b62-bcef-15f7a5963b8f">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4</xdr:col>
      <xdr:colOff>228600</xdr:colOff>
      <xdr:row>0</xdr:row>
      <xdr:rowOff>66675</xdr:rowOff>
    </xdr:from>
    <xdr:ext cx="23495000" cy="609600"/>
    <xdr:sp macro="" textlink="">
      <xdr:nvSpPr>
        <xdr:cNvPr id="2" name="TITLE|REMEDIATION TRACKER">
          <a:extLst>
            <a:ext uri="{FF2B5EF4-FFF2-40B4-BE49-F238E27FC236}">
              <a16:creationId xmlns:a16="http://schemas.microsoft.com/office/drawing/2014/main" id="{00000000-0008-0000-0400-000002000000}"/>
            </a:ext>
          </a:extLst>
        </xdr:cNvPr>
        <xdr:cNvSpPr>
          <a:spLocks noGrp="1"/>
        </xdr:cNvSpPr>
      </xdr:nvSpPr>
      <xdr:spPr>
        <a:xfrm>
          <a:off x="2463800" y="66675"/>
          <a:ext cx="234950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REMEDIATION TRACKER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4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Remediation Tracker navigation: Dashboard">
          <a:hlinkClick xmlns:r="http://schemas.openxmlformats.org/officeDocument/2006/relationships" r:id="rId1" tooltip="Open Dashboard"/>
          <a:extLst>
            <a:ext uri="{FF2B5EF4-FFF2-40B4-BE49-F238E27FC236}">
              <a16:creationId xmlns:a16="http://schemas.microsoft.com/office/drawing/2014/main" id="{00000000-0008-0000-04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Remediation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4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Remediation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4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Remediation Track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4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Remediation Tracker navigation: Remediation Tracker (current page)">
          <a:hlinkClick xmlns:r="http://schemas.openxmlformats.org/officeDocument/2006/relationships" r:id="rId5" tooltip="Open Remediation Tracker"/>
          <a:extLst>
            <a:ext uri="{FF2B5EF4-FFF2-40B4-BE49-F238E27FC236}">
              <a16:creationId xmlns:a16="http://schemas.microsoft.com/office/drawing/2014/main" id="{00000000-0008-0000-0400-000008000000}"/>
            </a:ext>
          </a:extLst>
        </xdr:cNvPr>
        <xdr:cNvSpPr>
          <a:spLocks noGrp="1"/>
        </xdr:cNvSpPr>
      </xdr:nvSpPr>
      <xdr:spPr>
        <a:xfrm>
          <a:off x="133350" y="41719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Remediation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4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Remediation Tracker navigation: Instructions">
          <a:hlinkClick xmlns:r="http://schemas.openxmlformats.org/officeDocument/2006/relationships" r:id="rId7" tooltip="Open Instructions"/>
          <a:extLst>
            <a:ext uri="{FF2B5EF4-FFF2-40B4-BE49-F238E27FC236}">
              <a16:creationId xmlns:a16="http://schemas.microsoft.com/office/drawing/2014/main" id="{00000000-0008-0000-04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4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f369c947-e89b-4ef8-b07b-79ecef668c7f">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4</xdr:col>
      <xdr:colOff>228600</xdr:colOff>
      <xdr:row>0</xdr:row>
      <xdr:rowOff>66675</xdr:rowOff>
    </xdr:from>
    <xdr:ext cx="15290800" cy="609600"/>
    <xdr:sp macro="" textlink="">
      <xdr:nvSpPr>
        <xdr:cNvPr id="2" name="TITLE|SCORING METHODOLOGY">
          <a:extLst>
            <a:ext uri="{FF2B5EF4-FFF2-40B4-BE49-F238E27FC236}">
              <a16:creationId xmlns:a16="http://schemas.microsoft.com/office/drawing/2014/main" id="{00000000-0008-0000-0500-000002000000}"/>
            </a:ext>
          </a:extLst>
        </xdr:cNvPr>
        <xdr:cNvSpPr>
          <a:spLocks noGrp="1"/>
        </xdr:cNvSpPr>
      </xdr:nvSpPr>
      <xdr:spPr>
        <a:xfrm>
          <a:off x="2463800" y="66675"/>
          <a:ext cx="15290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SCORING METHODOLOGY</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5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Scoring Methodology navigation: Dashboard">
          <a:hlinkClick xmlns:r="http://schemas.openxmlformats.org/officeDocument/2006/relationships" r:id="rId1" tooltip="Open Dashboard"/>
          <a:extLst>
            <a:ext uri="{FF2B5EF4-FFF2-40B4-BE49-F238E27FC236}">
              <a16:creationId xmlns:a16="http://schemas.microsoft.com/office/drawing/2014/main" id="{00000000-0008-0000-05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7</xdr:row>
      <xdr:rowOff>251460</xdr:rowOff>
    </xdr:from>
    <xdr:ext cx="1866900" cy="457200"/>
    <xdr:sp macro="" textlink="">
      <xdr:nvSpPr>
        <xdr:cNvPr id="5" name="NAV|Risk Register|02  Risk register" descr="Scoring Methodology navigation: Risk Register">
          <a:hlinkClick xmlns:r="http://schemas.openxmlformats.org/officeDocument/2006/relationships" r:id="rId2" tooltip="Open Risk Register"/>
          <a:extLst>
            <a:ext uri="{FF2B5EF4-FFF2-40B4-BE49-F238E27FC236}">
              <a16:creationId xmlns:a16="http://schemas.microsoft.com/office/drawing/2014/main" id="{00000000-0008-0000-05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9</xdr:row>
      <xdr:rowOff>64770</xdr:rowOff>
    </xdr:from>
    <xdr:ext cx="1866900" cy="457200"/>
    <xdr:sp macro="" textlink="">
      <xdr:nvSpPr>
        <xdr:cNvPr id="6" name="NAV|Control Assessment|03  Controls" descr="Scoring Methodology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5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10</xdr:row>
      <xdr:rowOff>209550</xdr:rowOff>
    </xdr:from>
    <xdr:ext cx="1866900" cy="457200"/>
    <xdr:sp macro="" textlink="">
      <xdr:nvSpPr>
        <xdr:cNvPr id="7" name="NAV|Evidence Tracker|04  Evidence" descr="Scoring Methodology navigation: Evidence Tracker">
          <a:hlinkClick xmlns:r="http://schemas.openxmlformats.org/officeDocument/2006/relationships" r:id="rId4" tooltip="Open Evidence Tracker"/>
          <a:extLst>
            <a:ext uri="{FF2B5EF4-FFF2-40B4-BE49-F238E27FC236}">
              <a16:creationId xmlns:a16="http://schemas.microsoft.com/office/drawing/2014/main" id="{00000000-0008-0000-05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11</xdr:row>
      <xdr:rowOff>354330</xdr:rowOff>
    </xdr:from>
    <xdr:ext cx="1866900" cy="457200"/>
    <xdr:sp macro="" textlink="">
      <xdr:nvSpPr>
        <xdr:cNvPr id="8" name="NAV|Remediation Tracker|05  Remediation" descr="Scoring Methodology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5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13</xdr:row>
      <xdr:rowOff>15240</xdr:rowOff>
    </xdr:from>
    <xdr:ext cx="1866900" cy="457200"/>
    <xdr:sp macro="" textlink="">
      <xdr:nvSpPr>
        <xdr:cNvPr id="9" name="NAV|Scoring Methodology|06  Scoring" descr="Scoring Methodology navigation: Scoring Methodology (current page)">
          <a:hlinkClick xmlns:r="http://schemas.openxmlformats.org/officeDocument/2006/relationships" r:id="rId6" tooltip="Open Scoring Methodology"/>
          <a:extLst>
            <a:ext uri="{FF2B5EF4-FFF2-40B4-BE49-F238E27FC236}">
              <a16:creationId xmlns:a16="http://schemas.microsoft.com/office/drawing/2014/main" id="{00000000-0008-0000-0500-000009000000}"/>
            </a:ext>
          </a:extLst>
        </xdr:cNvPr>
        <xdr:cNvSpPr>
          <a:spLocks noGrp="1"/>
        </xdr:cNvSpPr>
      </xdr:nvSpPr>
      <xdr:spPr>
        <a:xfrm>
          <a:off x="133350" y="48006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06  Scoring</a:t>
          </a:r>
        </a:p>
      </xdr:txBody>
    </xdr:sp>
    <xdr:clientData/>
  </xdr:oneCellAnchor>
  <xdr:oneCellAnchor>
    <xdr:from>
      <xdr:col>0</xdr:col>
      <xdr:colOff>133350</xdr:colOff>
      <xdr:row>14</xdr:row>
      <xdr:rowOff>312420</xdr:rowOff>
    </xdr:from>
    <xdr:ext cx="1866900" cy="457200"/>
    <xdr:sp macro="" textlink="">
      <xdr:nvSpPr>
        <xdr:cNvPr id="10" name="NAV|Instructions|07  Guide" descr="Scoring Methodology navigation: Instructions">
          <a:hlinkClick xmlns:r="http://schemas.openxmlformats.org/officeDocument/2006/relationships" r:id="rId7" tooltip="Open Instructions"/>
          <a:extLst>
            <a:ext uri="{FF2B5EF4-FFF2-40B4-BE49-F238E27FC236}">
              <a16:creationId xmlns:a16="http://schemas.microsoft.com/office/drawing/2014/main" id="{00000000-0008-0000-05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17</xdr:row>
      <xdr:rowOff>308610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5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ac9d1ed-0187-43fb-8917-ff5b43f93390">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4</xdr:col>
      <xdr:colOff>228600</xdr:colOff>
      <xdr:row>0</xdr:row>
      <xdr:rowOff>66675</xdr:rowOff>
    </xdr:from>
    <xdr:ext cx="11607800" cy="609600"/>
    <xdr:sp macro="" textlink="">
      <xdr:nvSpPr>
        <xdr:cNvPr id="2" name="TITLE|INSTRUCTIONS">
          <a:extLst>
            <a:ext uri="{FF2B5EF4-FFF2-40B4-BE49-F238E27FC236}">
              <a16:creationId xmlns:a16="http://schemas.microsoft.com/office/drawing/2014/main" id="{00000000-0008-0000-0600-000002000000}"/>
            </a:ext>
          </a:extLst>
        </xdr:cNvPr>
        <xdr:cNvSpPr>
          <a:spLocks noGrp="1"/>
        </xdr:cNvSpPr>
      </xdr:nvSpPr>
      <xdr:spPr>
        <a:xfrm>
          <a:off x="2463800" y="66675"/>
          <a:ext cx="11607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INSTRUCTIONS</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6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Instructions navigation: Dashboard">
          <a:hlinkClick xmlns:r="http://schemas.openxmlformats.org/officeDocument/2006/relationships" r:id="rId1" tooltip="Open Dashboard"/>
          <a:extLst>
            <a:ext uri="{FF2B5EF4-FFF2-40B4-BE49-F238E27FC236}">
              <a16:creationId xmlns:a16="http://schemas.microsoft.com/office/drawing/2014/main" id="{00000000-0008-0000-06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7</xdr:row>
      <xdr:rowOff>251460</xdr:rowOff>
    </xdr:from>
    <xdr:ext cx="1866900" cy="457200"/>
    <xdr:sp macro="" textlink="">
      <xdr:nvSpPr>
        <xdr:cNvPr id="5" name="NAV|Risk Register|02  Risk register" descr="Instructions navigation: Risk Register">
          <a:hlinkClick xmlns:r="http://schemas.openxmlformats.org/officeDocument/2006/relationships" r:id="rId2" tooltip="Open Risk Register"/>
          <a:extLst>
            <a:ext uri="{FF2B5EF4-FFF2-40B4-BE49-F238E27FC236}">
              <a16:creationId xmlns:a16="http://schemas.microsoft.com/office/drawing/2014/main" id="{00000000-0008-0000-06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9</xdr:row>
      <xdr:rowOff>217170</xdr:rowOff>
    </xdr:from>
    <xdr:ext cx="1866900" cy="457200"/>
    <xdr:sp macro="" textlink="">
      <xdr:nvSpPr>
        <xdr:cNvPr id="6" name="NAV|Control Assessment|03  Controls" descr="Instructions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6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11</xdr:row>
      <xdr:rowOff>182880</xdr:rowOff>
    </xdr:from>
    <xdr:ext cx="1866900" cy="457200"/>
    <xdr:sp macro="" textlink="">
      <xdr:nvSpPr>
        <xdr:cNvPr id="7" name="NAV|Evidence Tracker|04  Evidence" descr="Instructions navigation: Evidence Tracker">
          <a:hlinkClick xmlns:r="http://schemas.openxmlformats.org/officeDocument/2006/relationships" r:id="rId4" tooltip="Open Evidence Tracker"/>
          <a:extLst>
            <a:ext uri="{FF2B5EF4-FFF2-40B4-BE49-F238E27FC236}">
              <a16:creationId xmlns:a16="http://schemas.microsoft.com/office/drawing/2014/main" id="{00000000-0008-0000-06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13</xdr:row>
      <xdr:rowOff>148590</xdr:rowOff>
    </xdr:from>
    <xdr:ext cx="1866900" cy="457200"/>
    <xdr:sp macro="" textlink="">
      <xdr:nvSpPr>
        <xdr:cNvPr id="8" name="NAV|Remediation Tracker|05  Remediation" descr="Instructions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6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15</xdr:row>
      <xdr:rowOff>114300</xdr:rowOff>
    </xdr:from>
    <xdr:ext cx="1866900" cy="457200"/>
    <xdr:sp macro="" textlink="">
      <xdr:nvSpPr>
        <xdr:cNvPr id="9" name="NAV|Scoring Methodology|06  Scoring" descr="Instructions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6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17</xdr:row>
      <xdr:rowOff>80010</xdr:rowOff>
    </xdr:from>
    <xdr:ext cx="1866900" cy="457200"/>
    <xdr:sp macro="" textlink="">
      <xdr:nvSpPr>
        <xdr:cNvPr id="10" name="NAV|Instructions|07  Guide" descr="Instructions navigation: Instructions (current page)">
          <a:hlinkClick xmlns:r="http://schemas.openxmlformats.org/officeDocument/2006/relationships" r:id="rId7" tooltip="Open Instructions"/>
          <a:extLst>
            <a:ext uri="{FF2B5EF4-FFF2-40B4-BE49-F238E27FC236}">
              <a16:creationId xmlns:a16="http://schemas.microsoft.com/office/drawing/2014/main" id="{00000000-0008-0000-0600-00000A000000}"/>
            </a:ext>
          </a:extLst>
        </xdr:cNvPr>
        <xdr:cNvSpPr>
          <a:spLocks noGrp="1"/>
        </xdr:cNvSpPr>
      </xdr:nvSpPr>
      <xdr:spPr>
        <a:xfrm>
          <a:off x="133350" y="54292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07  Guide</a:t>
          </a:r>
        </a:p>
      </xdr:txBody>
    </xdr:sp>
    <xdr:clientData/>
  </xdr:oneCellAnchor>
  <xdr:oneCellAnchor>
    <xdr:from>
      <xdr:col>0</xdr:col>
      <xdr:colOff>171450</xdr:colOff>
      <xdr:row>20</xdr:row>
      <xdr:rowOff>76200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6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c2404c1-cb27-408f-841f-b09a9133ff6e">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RegisterTable" displayName="RiskRegisterTable" ref="E6:Y106" totalsRowShown="0">
  <tableColumns count="21">
    <tableColumn id="1" xr3:uid="{00000000-0010-0000-0000-000001000000}" name="Risk ID"/>
    <tableColumn id="2" xr3:uid="{00000000-0010-0000-0000-000002000000}" name="Risk title"/>
    <tableColumn id="3" xr3:uid="{00000000-0010-0000-0000-000003000000}" name="Scenario fact / source"/>
    <tableColumn id="4" xr3:uid="{00000000-0010-0000-0000-000004000000}" name="Unverified assumptions"/>
    <tableColumn id="5" xr3:uid="{00000000-0010-0000-0000-000005000000}" name="Scope / asset"/>
    <tableColumn id="6" xr3:uid="{00000000-0010-0000-0000-000006000000}" name="Category"/>
    <tableColumn id="7" xr3:uid="{00000000-0010-0000-0000-000007000000}" name="Likelihood"/>
    <tableColumn id="8" xr3:uid="{00000000-0010-0000-0000-000008000000}" name="Impact"/>
    <tableColumn id="9" xr3:uid="{00000000-0010-0000-0000-000009000000}" name="Inherent score"/>
    <tableColumn id="10" xr3:uid="{00000000-0010-0000-0000-00000A000000}" name="Inherent rating"/>
    <tableColumn id="11" xr3:uid="{00000000-0010-0000-0000-00000B000000}" name="Proposed owner"/>
    <tableColumn id="12" xr3:uid="{00000000-0010-0000-0000-00000C000000}" name="Treatment"/>
    <tableColumn id="13" xr3:uid="{00000000-0010-0000-0000-00000D000000}" name="Validation status"/>
    <tableColumn id="14" xr3:uid="{00000000-0010-0000-0000-00000E000000}" name="Workflow status"/>
    <tableColumn id="15" xr3:uid="{00000000-0010-0000-0000-00000F000000}" name="Evidence IDs"/>
    <tableColumn id="16" xr3:uid="{00000000-0010-0000-0000-000010000000}" name="Residual likelihood"/>
    <tableColumn id="17" xr3:uid="{00000000-0010-0000-0000-000011000000}" name="Residual impact"/>
    <tableColumn id="18" xr3:uid="{00000000-0010-0000-0000-000012000000}" name="Residual score"/>
    <tableColumn id="19" xr3:uid="{00000000-0010-0000-0000-000013000000}" name="Residual rating"/>
    <tableColumn id="20" xr3:uid="{00000000-0010-0000-0000-000014000000}" name="Assessment notes"/>
    <tableColumn id="21" xr3:uid="{00000000-0010-0000-0000-000015000000}" name="Dashboard includ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rolAssessmentTable" displayName="ControlAssessmentTable" ref="E6:P106" totalsRowShown="0">
  <tableColumns count="12">
    <tableColumn id="1" xr3:uid="{00000000-0010-0000-0100-000001000000}" name="Control ID"/>
    <tableColumn id="2" xr3:uid="{00000000-0010-0000-0100-000002000000}" name="Risk ID"/>
    <tableColumn id="3" xr3:uid="{00000000-0010-0000-0100-000003000000}" name="Proposed control objective"/>
    <tableColumn id="4" xr3:uid="{00000000-0010-0000-0100-000004000000}" name="Design test plan"/>
    <tableColumn id="5" xr3:uid="{00000000-0010-0000-0100-000005000000}" name="Operating test plan"/>
    <tableColumn id="6" xr3:uid="{00000000-0010-0000-0100-000006000000}" name="Design result"/>
    <tableColumn id="7" xr3:uid="{00000000-0010-0000-0100-000007000000}" name="Operating result"/>
    <tableColumn id="8" xr3:uid="{00000000-0010-0000-0100-000008000000}" name="Evidence IDs"/>
    <tableColumn id="9" xr3:uid="{00000000-0010-0000-0100-000009000000}" name="Assessor"/>
    <tableColumn id="10" xr3:uid="{00000000-0010-0000-0100-00000A000000}" name="Assessment date"/>
    <tableColumn id="11" xr3:uid="{00000000-0010-0000-0100-00000B000000}" name="Validation status"/>
    <tableColumn id="12" xr3:uid="{00000000-0010-0000-0100-00000C000000}" name="Facts / assumptions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eTrackerTable" displayName="EvidenceTrackerTable" ref="E6:R106" totalsRowShown="0">
  <tableColumns count="14">
    <tableColumn id="1" xr3:uid="{00000000-0010-0000-0200-000001000000}" name="Evidence ID"/>
    <tableColumn id="2" xr3:uid="{00000000-0010-0000-0200-000002000000}" name="Risk ID"/>
    <tableColumn id="3" xr3:uid="{00000000-0010-0000-0200-000003000000}" name="Control ID"/>
    <tableColumn id="4" xr3:uid="{00000000-0010-0000-0200-000004000000}" name="Requested evidence"/>
    <tableColumn id="5" xr3:uid="{00000000-0010-0000-0200-000005000000}" name="Purpose / proposed coverage"/>
    <tableColumn id="6" xr3:uid="{00000000-0010-0000-0200-000006000000}" name="Custodian"/>
    <tableColumn id="7" xr3:uid="{00000000-0010-0000-0200-000007000000}" name="Request date"/>
    <tableColumn id="8" xr3:uid="{00000000-0010-0000-0200-000008000000}" name="Due date"/>
    <tableColumn id="9" xr3:uid="{00000000-0010-0000-0200-000009000000}" name="Received date"/>
    <tableColumn id="10" xr3:uid="{00000000-0010-0000-0200-00000A000000}" name="Status"/>
    <tableColumn id="11" xr3:uid="{00000000-0010-0000-0200-00000B000000}" name="Evidence location"/>
    <tableColumn id="12" xr3:uid="{00000000-0010-0000-0200-00000C000000}" name="Reviewer"/>
    <tableColumn id="13" xr3:uid="{00000000-0010-0000-0200-00000D000000}" name="Validation status"/>
    <tableColumn id="14" xr3:uid="{00000000-0010-0000-0200-00000E000000}" name="Review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mediationTrackerTable" displayName="RemediationTrackerTable" ref="E6:P106" totalsRowShown="0">
  <tableColumns count="12">
    <tableColumn id="1" xr3:uid="{00000000-0010-0000-0300-000001000000}" name="Action ID"/>
    <tableColumn id="2" xr3:uid="{00000000-0010-0000-0300-000002000000}" name="Risk ID"/>
    <tableColumn id="3" xr3:uid="{00000000-0010-0000-0300-000003000000}" name="Proposed action"/>
    <tableColumn id="4" xr3:uid="{00000000-0010-0000-0300-000004000000}" name="Proposed owner"/>
    <tableColumn id="5" xr3:uid="{00000000-0010-0000-0300-000005000000}" name="Approval status"/>
    <tableColumn id="6" xr3:uid="{00000000-0010-0000-0300-000006000000}" name="Workflow status"/>
    <tableColumn id="7" xr3:uid="{00000000-0010-0000-0300-000007000000}" name="Target date"/>
    <tableColumn id="8" xr3:uid="{00000000-0010-0000-0300-000008000000}" name="Completed date"/>
    <tableColumn id="9" xr3:uid="{00000000-0010-0000-0300-000009000000}" name="Closure evidence IDs"/>
    <tableColumn id="10" xr3:uid="{00000000-0010-0000-0300-00000A000000}" name="Closure validation"/>
    <tableColumn id="11" xr3:uid="{00000000-0010-0000-0300-00000B000000}" name="Days overdue"/>
    <tableColumn id="12" xr3:uid="{00000000-0010-0000-0300-00000C000000}" name="Notes / dependenci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2F47"/>
  </sheetPr>
  <dimension ref="A1:AG64"/>
  <sheetViews>
    <sheetView showGridLines="0" tabSelected="1" zoomScale="75" workbookViewId="0"/>
  </sheetViews>
  <sheetFormatPr defaultRowHeight="14.25"/>
  <cols>
    <col min="1" max="4" width="7.25" customWidth="1"/>
    <col min="5" max="28" width="7" customWidth="1"/>
    <col min="31" max="33" width="14" hidden="1" customWidth="1"/>
  </cols>
  <sheetData>
    <row r="1" spans="1:33" ht="28.5" customHeight="1">
      <c r="A1" s="18"/>
      <c r="B1" s="18"/>
      <c r="C1" s="18"/>
      <c r="D1" s="18"/>
      <c r="E1" s="12"/>
      <c r="F1" s="12"/>
      <c r="G1" s="12"/>
      <c r="H1" s="12"/>
      <c r="I1" s="12"/>
      <c r="J1" s="13"/>
      <c r="K1" s="13"/>
      <c r="L1" s="13"/>
      <c r="M1" s="13"/>
      <c r="N1" s="13"/>
      <c r="O1" s="13"/>
      <c r="P1" s="13"/>
      <c r="Q1" s="13"/>
      <c r="R1" s="13"/>
      <c r="S1" s="13"/>
      <c r="T1" s="13"/>
      <c r="U1" s="13"/>
      <c r="V1" s="13"/>
      <c r="W1" s="13"/>
      <c r="X1" s="13"/>
      <c r="Y1" s="13"/>
      <c r="Z1" s="13"/>
      <c r="AA1" s="13"/>
      <c r="AB1" s="13"/>
    </row>
    <row r="2" spans="1:33" ht="28.5" customHeight="1">
      <c r="A2" s="18"/>
      <c r="B2" s="18"/>
      <c r="C2" s="18"/>
      <c r="D2" s="18"/>
      <c r="E2" s="12"/>
      <c r="F2" s="12"/>
      <c r="G2" s="12"/>
      <c r="H2" s="12"/>
      <c r="I2" s="12"/>
      <c r="J2" s="13"/>
      <c r="K2" s="13"/>
      <c r="L2" s="13"/>
      <c r="M2" s="13"/>
      <c r="N2" s="13"/>
      <c r="O2" s="13"/>
      <c r="P2" s="13"/>
      <c r="Q2" s="13"/>
      <c r="R2" s="13"/>
      <c r="S2" s="13"/>
      <c r="T2" s="13"/>
      <c r="U2" s="13"/>
      <c r="V2" s="13"/>
      <c r="W2" s="13"/>
      <c r="X2" s="13"/>
      <c r="Y2" s="13"/>
      <c r="Z2" s="13"/>
      <c r="AA2" s="13"/>
      <c r="AB2" s="13"/>
      <c r="AE2" t="s">
        <v>119</v>
      </c>
      <c r="AF2" t="s">
        <v>120</v>
      </c>
    </row>
    <row r="3" spans="1:33" ht="15" customHeight="1">
      <c r="A3" s="18"/>
      <c r="B3" s="18"/>
      <c r="C3" s="18"/>
      <c r="D3" s="18"/>
      <c r="E3" s="12"/>
      <c r="F3" s="12"/>
      <c r="G3" s="12"/>
      <c r="H3" s="12"/>
      <c r="I3" s="12"/>
      <c r="J3" s="12"/>
      <c r="K3" s="12"/>
      <c r="L3" s="12"/>
      <c r="M3" s="12"/>
      <c r="N3" s="12"/>
      <c r="O3" s="12"/>
      <c r="P3" s="12"/>
      <c r="Q3" s="12"/>
      <c r="R3" s="12"/>
      <c r="S3" s="12"/>
      <c r="T3" s="12"/>
      <c r="U3" s="12"/>
      <c r="V3" s="12"/>
      <c r="W3" s="12"/>
      <c r="X3" s="12"/>
      <c r="Y3" s="12"/>
      <c r="Z3" s="12"/>
      <c r="AA3" s="12"/>
      <c r="AB3" s="12"/>
      <c r="AE3" t="s">
        <v>100</v>
      </c>
      <c r="AF3" t="n">
        <f>COUNTIFS('Risk Register'!$Y$7:$Y$106,1,'Risk Register'!$N$7:$N$106,AE3)</f>
        <v>0</v>
      </c>
    </row>
    <row r="4" spans="1:33" ht="15" customHeight="1">
      <c r="A4" s="18"/>
      <c r="B4" s="18"/>
      <c r="C4" s="18"/>
      <c r="D4" s="18"/>
      <c r="E4" s="12"/>
      <c r="F4" s="12"/>
      <c r="G4" s="12"/>
      <c r="H4" s="12"/>
      <c r="I4" s="12"/>
      <c r="J4" s="12"/>
      <c r="K4" s="12"/>
      <c r="L4" s="12"/>
      <c r="M4" s="12"/>
      <c r="N4" s="12"/>
      <c r="O4" s="12"/>
      <c r="P4" s="12"/>
      <c r="Q4" s="12"/>
      <c r="R4" s="12"/>
      <c r="S4" s="12"/>
      <c r="T4" s="12"/>
      <c r="U4" s="12"/>
      <c r="V4" s="12"/>
      <c r="W4" s="12"/>
      <c r="X4" s="12"/>
      <c r="Y4" s="12"/>
      <c r="Z4" s="12"/>
      <c r="AA4" s="12"/>
      <c r="AB4" s="12"/>
      <c r="AE4" t="s">
        <v>87</v>
      </c>
      <c r="AF4" t="n">
        <f>COUNTIFS('Risk Register'!$Y$7:$Y$106,1,'Risk Register'!$N$7:$N$106,AE4)</f>
        <v>0</v>
      </c>
    </row>
    <row r="5" spans="1:33" ht="21" customHeight="1">
      <c r="A5" s="18"/>
      <c r="B5" s="18"/>
      <c r="C5" s="18"/>
      <c r="D5" s="18"/>
      <c r="E5" s="9"/>
      <c r="F5" s="50" t="s">
        <v>121</v>
      </c>
      <c r="G5" s="50"/>
      <c r="H5" s="50"/>
      <c r="I5" s="50"/>
      <c r="J5" s="50"/>
      <c r="K5" s="50"/>
      <c r="L5" s="50"/>
      <c r="M5" s="50"/>
      <c r="N5" s="50"/>
      <c r="O5" s="50"/>
      <c r="P5" s="50"/>
      <c r="Q5" s="50"/>
      <c r="R5" s="50"/>
      <c r="S5" s="50"/>
      <c r="T5" s="50"/>
      <c r="U5" s="50"/>
      <c r="V5" s="50"/>
      <c r="W5" s="50"/>
      <c r="X5" s="50"/>
      <c r="Y5" s="50"/>
      <c r="Z5" s="50"/>
      <c r="AA5" s="50"/>
      <c r="AB5" s="50"/>
      <c r="AE5" t="s">
        <v>98</v>
      </c>
      <c r="AF5" t="n">
        <f>COUNTIFS('Risk Register'!$Y$7:$Y$106,1,'Risk Register'!$N$7:$N$106,AE5)</f>
        <v>1</v>
      </c>
    </row>
    <row r="6" spans="1:33" ht="21" customHeight="1">
      <c r="A6" s="18"/>
      <c r="B6" s="18"/>
      <c r="C6" s="18"/>
      <c r="D6" s="18"/>
      <c r="E6" s="9"/>
      <c r="F6" s="9"/>
      <c r="G6" s="9"/>
      <c r="H6" s="9"/>
      <c r="I6" s="9"/>
      <c r="J6" s="51"/>
      <c r="K6" s="51"/>
      <c r="L6" s="52" t="s">
        <v>122</v>
      </c>
      <c r="M6" s="52"/>
      <c r="N6" s="52"/>
      <c r="O6" s="52"/>
      <c r="P6" s="52"/>
      <c r="Q6" s="52"/>
      <c r="R6" s="9"/>
      <c r="S6" s="9"/>
      <c r="T6" s="49" t="s">
        <v>123</v>
      </c>
      <c r="U6" s="49"/>
      <c r="V6" s="49"/>
      <c r="W6" s="49"/>
      <c r="X6" s="49"/>
      <c r="Y6" s="49"/>
      <c r="Z6" s="49"/>
      <c r="AA6" s="49"/>
      <c r="AB6" s="49"/>
      <c r="AE6" t="s">
        <v>99</v>
      </c>
      <c r="AF6" t="n">
        <f>COUNTIFS('Risk Register'!$Y$7:$Y$106,1,'Risk Register'!$N$7:$N$106,AE6)</f>
        <v>0</v>
      </c>
    </row>
    <row r="7" spans="1:33" ht="21" customHeight="1">
      <c r="A7" s="18"/>
      <c r="B7" s="18"/>
      <c r="C7" s="18"/>
      <c r="D7" s="18"/>
      <c r="E7" s="9"/>
      <c r="F7" s="9"/>
      <c r="G7" s="9"/>
      <c r="H7" s="9"/>
      <c r="I7" s="9"/>
      <c r="J7" s="9"/>
      <c r="K7" s="9"/>
      <c r="L7" s="53" t="s">
        <v>124</v>
      </c>
      <c r="M7" s="53"/>
      <c r="N7" s="53"/>
      <c r="O7" s="53"/>
      <c r="P7" s="53"/>
      <c r="Q7" s="53"/>
      <c r="R7" s="9"/>
      <c r="S7" s="9"/>
      <c r="T7" s="20" t="s">
        <v>124</v>
      </c>
      <c r="U7" s="20"/>
      <c r="V7" s="20"/>
      <c r="W7" s="20"/>
      <c r="X7" s="20"/>
      <c r="Y7" s="20"/>
      <c r="Z7" s="9"/>
      <c r="AA7" s="9"/>
      <c r="AB7" s="9"/>
    </row>
    <row r="8" spans="1:33" ht="21" customHeight="1">
      <c r="A8" s="18"/>
      <c r="B8" s="18"/>
      <c r="C8" s="18"/>
      <c r="D8" s="18"/>
      <c r="E8" s="9"/>
      <c r="F8" s="19" t="s">
        <v>125</v>
      </c>
      <c r="G8" s="19"/>
      <c r="H8" s="19"/>
      <c r="I8" s="19"/>
      <c r="J8" s="19"/>
      <c r="K8" s="19"/>
      <c r="L8" s="19"/>
      <c r="M8" s="19"/>
      <c r="N8" s="19"/>
      <c r="O8" s="19"/>
      <c r="P8" s="19"/>
      <c r="Q8" s="19"/>
      <c r="R8" s="19"/>
      <c r="S8" s="19"/>
      <c r="T8" s="19"/>
      <c r="U8" s="19"/>
      <c r="V8" s="19"/>
      <c r="W8" s="19"/>
      <c r="X8" s="19"/>
      <c r="Y8" s="19"/>
      <c r="Z8" s="19"/>
      <c r="AA8" s="19"/>
      <c r="AB8" s="19"/>
    </row>
    <row r="9" spans="1:33" ht="21" customHeight="1">
      <c r="A9" s="18"/>
      <c r="B9" s="18"/>
      <c r="C9" s="18"/>
      <c r="D9" s="18"/>
      <c r="E9" s="9"/>
      <c r="F9" s="9"/>
      <c r="G9" s="9"/>
      <c r="H9" s="9"/>
      <c r="I9" s="9"/>
      <c r="J9" s="9"/>
      <c r="K9" s="9"/>
      <c r="L9" s="9"/>
      <c r="M9" s="9"/>
      <c r="N9" s="9"/>
      <c r="O9" s="9"/>
      <c r="P9" s="9"/>
      <c r="Q9" s="9"/>
      <c r="R9" s="9"/>
      <c r="S9" s="9"/>
      <c r="T9" s="9"/>
      <c r="U9" s="9"/>
      <c r="V9" s="9"/>
      <c r="W9" s="9"/>
      <c r="X9" s="9"/>
      <c r="Y9" s="9"/>
      <c r="Z9" s="9"/>
      <c r="AA9" s="9"/>
      <c r="AB9" s="9"/>
      <c r="AE9" t="s">
        <v>126</v>
      </c>
      <c r="AF9" t="s">
        <v>127</v>
      </c>
    </row>
    <row r="10" spans="1:33" ht="21" customHeight="1">
      <c r="A10" s="18"/>
      <c r="B10" s="18"/>
      <c r="C10" s="18"/>
      <c r="D10" s="18"/>
      <c r="E10" s="9"/>
      <c r="F10" s="43" t="s">
        <v>128</v>
      </c>
      <c r="G10" s="44"/>
      <c r="H10" s="44"/>
      <c r="I10" s="44"/>
      <c r="J10" s="45"/>
      <c r="K10" s="9"/>
      <c r="L10" s="43" t="s">
        <v>129</v>
      </c>
      <c r="M10" s="44"/>
      <c r="N10" s="44"/>
      <c r="O10" s="44"/>
      <c r="P10" s="45"/>
      <c r="Q10" s="9"/>
      <c r="R10" s="43" t="s">
        <v>130</v>
      </c>
      <c r="S10" s="44"/>
      <c r="T10" s="44"/>
      <c r="U10" s="44"/>
      <c r="V10" s="45"/>
      <c r="W10" s="9"/>
      <c r="X10" s="43" t="s">
        <v>131</v>
      </c>
      <c r="Y10" s="44"/>
      <c r="Z10" s="44"/>
      <c r="AA10" s="44"/>
      <c r="AB10" s="45"/>
      <c r="AE10" t="s">
        <v>132</v>
      </c>
      <c r="AF10" t="n">
        <f>COUNTIFS('Evidence Tracker'!$E$7:$E$106,"&lt;&gt;",'Evidence Tracker'!$N$7:$N$106,"Planned request")</f>
        <v>1</v>
      </c>
    </row>
    <row r="11" spans="1:33" ht="21" customHeight="1">
      <c r="A11" s="18"/>
      <c r="B11" s="18"/>
      <c r="C11" s="18"/>
      <c r="D11" s="18"/>
      <c r="E11" s="9"/>
      <c r="F11" s="46"/>
      <c r="G11" s="47"/>
      <c r="H11" s="47"/>
      <c r="I11" s="47"/>
      <c r="J11" s="48"/>
      <c r="K11" s="9"/>
      <c r="L11" s="46"/>
      <c r="M11" s="47"/>
      <c r="N11" s="47"/>
      <c r="O11" s="47"/>
      <c r="P11" s="48"/>
      <c r="Q11" s="9"/>
      <c r="R11" s="46"/>
      <c r="S11" s="47"/>
      <c r="T11" s="47"/>
      <c r="U11" s="47"/>
      <c r="V11" s="48"/>
      <c r="W11" s="9"/>
      <c r="X11" s="46"/>
      <c r="Y11" s="47"/>
      <c r="Z11" s="47"/>
      <c r="AA11" s="47"/>
      <c r="AB11" s="48"/>
      <c r="AE11" t="s">
        <v>133</v>
      </c>
      <c r="AF11" t="n">
        <f>COUNTIFS('Evidence Tracker'!$E$7:$E$106,"&lt;&gt;",'Evidence Tracker'!$N$7:$N$106,"Requested")</f>
        <v>0</v>
      </c>
    </row>
    <row r="12" spans="1:33" ht="21" customHeight="1">
      <c r="A12" s="18"/>
      <c r="B12" s="18"/>
      <c r="C12" s="18"/>
      <c r="D12" s="18"/>
      <c r="E12" s="9"/>
      <c r="F12" s="21" t="n">
        <f>SUM('Risk Register'!$Y$7:$Y$106)</f>
        <v>1</v>
      </c>
      <c r="G12" s="22"/>
      <c r="H12" s="22"/>
      <c r="I12" s="22"/>
      <c r="J12" s="23"/>
      <c r="K12" s="9"/>
      <c r="L12" s="27" t="n">
        <f>COUNTIFS('Risk Register'!$Y$7:$Y$106,1,'Risk Register'!$N$7:$N$106,"High")+COUNTIFS('Risk Register'!$Y$7:$Y$106,1,'Risk Register'!$N$7:$N$106,"Critical")</f>
        <v>1</v>
      </c>
      <c r="M12" s="28"/>
      <c r="N12" s="28"/>
      <c r="O12" s="28"/>
      <c r="P12" s="29"/>
      <c r="Q12" s="9"/>
      <c r="R12" s="21" t="n">
        <f>COUNTIFS('Risk Register'!$Y$7:$Y$106,1,'Risk Register'!$Q$7:$Q$106,"Validated")</f>
        <v>0</v>
      </c>
      <c r="S12" s="22"/>
      <c r="T12" s="22"/>
      <c r="U12" s="22"/>
      <c r="V12" s="23"/>
      <c r="W12" s="9"/>
      <c r="X12" s="21" t="n">
        <f>COUNTIFS('Risk Register'!$Y$7:$Y$106,1,'Risk Register'!$Q$7:$Q$106,"Pending validation")</f>
        <v>1</v>
      </c>
      <c r="Y12" s="22"/>
      <c r="Z12" s="22"/>
      <c r="AA12" s="22"/>
      <c r="AB12" s="23"/>
      <c r="AE12" t="s">
        <v>134</v>
      </c>
      <c r="AF12" t="n">
        <f>COUNTIFS('Evidence Tracker'!$E$7:$E$106,"&lt;&gt;",'Evidence Tracker'!$N$7:$N$106,"Received")</f>
        <v>0</v>
      </c>
    </row>
    <row r="13" spans="1:33" ht="21" customHeight="1">
      <c r="A13" s="18"/>
      <c r="B13" s="18"/>
      <c r="C13" s="18"/>
      <c r="D13" s="18"/>
      <c r="E13" s="9"/>
      <c r="F13" s="24"/>
      <c r="G13" s="25"/>
      <c r="H13" s="25"/>
      <c r="I13" s="25"/>
      <c r="J13" s="26"/>
      <c r="K13" s="9"/>
      <c r="L13" s="30"/>
      <c r="M13" s="31"/>
      <c r="N13" s="31"/>
      <c r="O13" s="31"/>
      <c r="P13" s="32"/>
      <c r="Q13" s="9"/>
      <c r="R13" s="24"/>
      <c r="S13" s="25"/>
      <c r="T13" s="25"/>
      <c r="U13" s="25"/>
      <c r="V13" s="26"/>
      <c r="W13" s="9"/>
      <c r="X13" s="24"/>
      <c r="Y13" s="25"/>
      <c r="Z13" s="25"/>
      <c r="AA13" s="25"/>
      <c r="AB13" s="26"/>
      <c r="AE13" t="s">
        <v>135</v>
      </c>
      <c r="AF13" t="n">
        <f>COUNTIFS('Evidence Tracker'!$E$7:$E$106,"&lt;&gt;",'Evidence Tracker'!$N$7:$N$106,"Under review")</f>
        <v>0</v>
      </c>
    </row>
    <row r="14" spans="1:33" ht="21" customHeight="1">
      <c r="A14" s="18"/>
      <c r="B14" s="18"/>
      <c r="C14" s="18"/>
      <c r="D14" s="18"/>
      <c r="E14" s="9"/>
      <c r="F14" s="9"/>
      <c r="G14" s="9"/>
      <c r="H14" s="9"/>
      <c r="I14" s="9"/>
      <c r="J14" s="9"/>
      <c r="K14" s="9"/>
      <c r="L14" s="9"/>
      <c r="M14" s="9"/>
      <c r="N14" s="9"/>
      <c r="O14" s="9"/>
      <c r="P14" s="9"/>
      <c r="Q14" s="9"/>
      <c r="R14" s="9"/>
      <c r="S14" s="9"/>
      <c r="T14" s="9"/>
      <c r="U14" s="9"/>
      <c r="V14" s="9"/>
      <c r="W14" s="9"/>
      <c r="X14" s="9"/>
      <c r="Y14" s="9"/>
      <c r="Z14" s="9"/>
      <c r="AA14" s="9"/>
      <c r="AB14" s="9"/>
      <c r="AE14" t="s">
        <v>136</v>
      </c>
      <c r="AF14" t="n">
        <f>COUNTIFS('Evidence Tracker'!$E$7:$E$106,"&lt;&gt;",'Evidence Tracker'!$N$7:$N$106,"Reviewed")</f>
        <v>0</v>
      </c>
    </row>
    <row r="15" spans="1:33" ht="21" customHeight="1">
      <c r="A15" s="18"/>
      <c r="B15" s="18"/>
      <c r="C15" s="18"/>
      <c r="D15" s="18"/>
      <c r="E15" s="9"/>
      <c r="F15" s="33" t="s">
        <v>137</v>
      </c>
      <c r="G15" s="33"/>
      <c r="H15" s="33"/>
      <c r="I15" s="33"/>
      <c r="J15" s="33"/>
      <c r="K15" s="33"/>
      <c r="L15" s="33"/>
      <c r="M15" s="33"/>
      <c r="N15" s="33"/>
      <c r="O15" s="33"/>
      <c r="P15" s="33"/>
      <c r="Q15" s="9"/>
      <c r="R15" s="33" t="s">
        <v>138</v>
      </c>
      <c r="S15" s="33"/>
      <c r="T15" s="33"/>
      <c r="U15" s="33"/>
      <c r="V15" s="33"/>
      <c r="W15" s="33"/>
      <c r="X15" s="33"/>
      <c r="Y15" s="33"/>
      <c r="Z15" s="33"/>
      <c r="AA15" s="33"/>
      <c r="AB15" s="33"/>
    </row>
    <row r="16" spans="1:33" ht="21" customHeight="1">
      <c r="A16" s="18"/>
      <c r="B16" s="18"/>
      <c r="C16" s="18"/>
      <c r="D16" s="18"/>
      <c r="E16" s="9"/>
      <c r="F16" s="9"/>
      <c r="G16" s="9"/>
      <c r="H16" s="9"/>
      <c r="I16" s="9"/>
      <c r="J16" s="9"/>
      <c r="K16" s="9"/>
      <c r="L16" s="9"/>
      <c r="M16" s="9"/>
      <c r="N16" s="9"/>
      <c r="O16" s="9"/>
      <c r="P16" s="9"/>
      <c r="Q16" s="9"/>
      <c r="R16" s="9"/>
      <c r="S16" s="9"/>
      <c r="T16" s="9"/>
      <c r="U16" s="9"/>
      <c r="V16" s="9"/>
      <c r="W16" s="9"/>
      <c r="X16" s="9"/>
      <c r="Y16" s="9"/>
      <c r="Z16" s="9"/>
      <c r="AA16" s="9"/>
      <c r="AB16" s="9"/>
      <c r="AE16" t="n">
        <f>'Scoring Methodology'!F16</f>
        <v>5</v>
      </c>
      <c r="AF16" t="n">
        <f>'Scoring Methodology'!F17</f>
        <v>12</v>
      </c>
      <c r="AG16" t="n">
        <f>'Scoring Methodology'!F18</f>
        <v>20</v>
      </c>
    </row>
    <row r="17" spans="1:31" ht="21" customHeight="1">
      <c r="A17" s="18"/>
      <c r="B17" s="18"/>
      <c r="C17" s="18"/>
      <c r="D17" s="18"/>
      <c r="E17" s="9"/>
      <c r="F17" s="9"/>
      <c r="G17" s="9"/>
      <c r="H17" s="9"/>
      <c r="I17" s="9"/>
      <c r="J17" s="9"/>
      <c r="K17" s="9"/>
      <c r="L17" s="9"/>
      <c r="M17" s="9"/>
      <c r="N17" s="9"/>
      <c r="O17" s="9"/>
      <c r="P17" s="9"/>
      <c r="Q17" s="9"/>
      <c r="R17" s="9"/>
      <c r="S17" s="9"/>
      <c r="T17" s="9"/>
      <c r="U17" s="10"/>
      <c r="V17" s="10">
        <v>1</v>
      </c>
      <c r="W17" s="10">
        <v>2</v>
      </c>
      <c r="X17" s="10">
        <v>3</v>
      </c>
      <c r="Y17" s="10">
        <v>4</v>
      </c>
      <c r="Z17" s="10">
        <v>5</v>
      </c>
      <c r="AA17" s="9"/>
      <c r="AB17" s="9"/>
      <c r="AE17" t="str">
        <f>'Risk Register'!N7</f>
        <v>High</v>
      </c>
    </row>
    <row r="18" spans="1:31" ht="21" customHeight="1">
      <c r="A18" s="18"/>
      <c r="B18" s="18"/>
      <c r="C18" s="18"/>
      <c r="D18" s="18"/>
      <c r="E18" s="9"/>
      <c r="F18" s="9"/>
      <c r="G18" s="9"/>
      <c r="H18" s="9"/>
      <c r="I18" s="9"/>
      <c r="J18" s="9"/>
      <c r="K18" s="9"/>
      <c r="L18" s="9"/>
      <c r="M18" s="9"/>
      <c r="N18" s="9"/>
      <c r="O18" s="9"/>
      <c r="P18" s="9"/>
      <c r="Q18" s="9"/>
      <c r="R18" s="9"/>
      <c r="S18" s="9"/>
      <c r="T18" s="9"/>
      <c r="U18" s="10">
        <v>5</v>
      </c>
      <c r="V18" s="11" t="n">
        <f>COUNTIFS('Risk Register'!$Y$7:$Y$106,1,'Risk Register'!$K$7:$K$106,$U18,'Risk Register'!$L$7:$L$106,V$17)</f>
        <v>0</v>
      </c>
      <c r="W18" s="11" t="n">
        <f>COUNTIFS('Risk Register'!$Y$7:$Y$106,1,'Risk Register'!$K$7:$K$106,$U18,'Risk Register'!$L$7:$L$106,W$17)</f>
        <v>0</v>
      </c>
      <c r="X18" s="11" t="n">
        <f>COUNTIFS('Risk Register'!$Y$7:$Y$106,1,'Risk Register'!$K$7:$K$106,$U18,'Risk Register'!$L$7:$L$106,X$17)</f>
        <v>0</v>
      </c>
      <c r="Y18" s="11" t="n">
        <f>COUNTIFS('Risk Register'!$Y$7:$Y$106,1,'Risk Register'!$K$7:$K$106,$U18,'Risk Register'!$L$7:$L$106,Y$17)</f>
        <v>0</v>
      </c>
      <c r="Z18" s="11" t="n">
        <f>COUNTIFS('Risk Register'!$Y$7:$Y$106,1,'Risk Register'!$K$7:$K$106,$U18,'Risk Register'!$L$7:$L$106,Z$17)</f>
        <v>0</v>
      </c>
      <c r="AA18" s="9"/>
      <c r="AB18" s="9"/>
    </row>
    <row r="19" spans="1:31" ht="21" customHeight="1">
      <c r="A19" s="18"/>
      <c r="B19" s="18"/>
      <c r="C19" s="18"/>
      <c r="D19" s="18"/>
      <c r="E19" s="9"/>
      <c r="F19" s="9"/>
      <c r="G19" s="9"/>
      <c r="H19" s="9"/>
      <c r="I19" s="9"/>
      <c r="J19" s="9"/>
      <c r="K19" s="9"/>
      <c r="L19" s="9"/>
      <c r="M19" s="9"/>
      <c r="N19" s="9"/>
      <c r="O19" s="9"/>
      <c r="P19" s="9"/>
      <c r="Q19" s="9"/>
      <c r="R19" s="9"/>
      <c r="S19" s="9"/>
      <c r="T19" s="9"/>
      <c r="U19" s="10">
        <v>4</v>
      </c>
      <c r="V19" s="11" t="n">
        <f>COUNTIFS('Risk Register'!$Y$7:$Y$106,1,'Risk Register'!$K$7:$K$106,$U19,'Risk Register'!$L$7:$L$106,V$17)</f>
        <v>0</v>
      </c>
      <c r="W19" s="11" t="n">
        <f>COUNTIFS('Risk Register'!$Y$7:$Y$106,1,'Risk Register'!$K$7:$K$106,$U19,'Risk Register'!$L$7:$L$106,W$17)</f>
        <v>0</v>
      </c>
      <c r="X19" s="11" t="n">
        <f>COUNTIFS('Risk Register'!$Y$7:$Y$106,1,'Risk Register'!$K$7:$K$106,$U19,'Risk Register'!$L$7:$L$106,X$17)</f>
        <v>0</v>
      </c>
      <c r="Y19" s="11" t="n">
        <f>COUNTIFS('Risk Register'!$Y$7:$Y$106,1,'Risk Register'!$K$7:$K$106,$U19,'Risk Register'!$L$7:$L$106,Y$17)</f>
        <v>0</v>
      </c>
      <c r="Z19" s="11" t="n">
        <f>COUNTIFS('Risk Register'!$Y$7:$Y$106,1,'Risk Register'!$K$7:$K$106,$U19,'Risk Register'!$L$7:$L$106,Z$17)</f>
        <v>0</v>
      </c>
      <c r="AA19" s="9"/>
      <c r="AB19" s="9"/>
    </row>
    <row r="20" spans="1:31" ht="21" customHeight="1">
      <c r="A20" s="18"/>
      <c r="B20" s="18"/>
      <c r="C20" s="18"/>
      <c r="D20" s="18"/>
      <c r="E20" s="9"/>
      <c r="F20" s="9"/>
      <c r="G20" s="9"/>
      <c r="H20" s="9"/>
      <c r="I20" s="9"/>
      <c r="J20" s="9"/>
      <c r="K20" s="9"/>
      <c r="L20" s="9"/>
      <c r="M20" s="9"/>
      <c r="N20" s="9"/>
      <c r="O20" s="9"/>
      <c r="P20" s="9"/>
      <c r="Q20" s="9"/>
      <c r="R20" s="9"/>
      <c r="S20" s="9"/>
      <c r="T20" s="9"/>
      <c r="U20" s="10">
        <v>3</v>
      </c>
      <c r="V20" s="11" t="n">
        <f>COUNTIFS('Risk Register'!$Y$7:$Y$106,1,'Risk Register'!$K$7:$K$106,$U20,'Risk Register'!$L$7:$L$106,V$17)</f>
        <v>0</v>
      </c>
      <c r="W20" s="11" t="n">
        <f>COUNTIFS('Risk Register'!$Y$7:$Y$106,1,'Risk Register'!$K$7:$K$106,$U20,'Risk Register'!$L$7:$L$106,W$17)</f>
        <v>0</v>
      </c>
      <c r="X20" s="11" t="n">
        <f>COUNTIFS('Risk Register'!$Y$7:$Y$106,1,'Risk Register'!$K$7:$K$106,$U20,'Risk Register'!$L$7:$L$106,X$17)</f>
        <v>0</v>
      </c>
      <c r="Y20" s="11" t="n">
        <f>COUNTIFS('Risk Register'!$Y$7:$Y$106,1,'Risk Register'!$K$7:$K$106,$U20,'Risk Register'!$L$7:$L$106,Y$17)</f>
        <v>1</v>
      </c>
      <c r="Z20" s="11" t="n">
        <f>COUNTIFS('Risk Register'!$Y$7:$Y$106,1,'Risk Register'!$K$7:$K$106,$U20,'Risk Register'!$L$7:$L$106,Z$17)</f>
        <v>0</v>
      </c>
      <c r="AA20" s="9"/>
      <c r="AB20" s="9"/>
    </row>
    <row r="21" spans="1:31" ht="21" customHeight="1">
      <c r="A21" s="18"/>
      <c r="B21" s="18"/>
      <c r="C21" s="18"/>
      <c r="D21" s="18"/>
      <c r="E21" s="9"/>
      <c r="F21" s="9"/>
      <c r="G21" s="9"/>
      <c r="H21" s="9"/>
      <c r="I21" s="9"/>
      <c r="J21" s="9"/>
      <c r="K21" s="9"/>
      <c r="L21" s="9"/>
      <c r="M21" s="9"/>
      <c r="N21" s="9"/>
      <c r="O21" s="9"/>
      <c r="P21" s="9"/>
      <c r="Q21" s="9"/>
      <c r="R21" s="9"/>
      <c r="S21" s="9"/>
      <c r="T21" s="9"/>
      <c r="U21" s="10">
        <v>2</v>
      </c>
      <c r="V21" s="11" t="n">
        <f>COUNTIFS('Risk Register'!$Y$7:$Y$106,1,'Risk Register'!$K$7:$K$106,$U21,'Risk Register'!$L$7:$L$106,V$17)</f>
        <v>0</v>
      </c>
      <c r="W21" s="11" t="n">
        <f>COUNTIFS('Risk Register'!$Y$7:$Y$106,1,'Risk Register'!$K$7:$K$106,$U21,'Risk Register'!$L$7:$L$106,W$17)</f>
        <v>0</v>
      </c>
      <c r="X21" s="11" t="n">
        <f>COUNTIFS('Risk Register'!$Y$7:$Y$106,1,'Risk Register'!$K$7:$K$106,$U21,'Risk Register'!$L$7:$L$106,X$17)</f>
        <v>0</v>
      </c>
      <c r="Y21" s="11" t="n">
        <f>COUNTIFS('Risk Register'!$Y$7:$Y$106,1,'Risk Register'!$K$7:$K$106,$U21,'Risk Register'!$L$7:$L$106,Y$17)</f>
        <v>0</v>
      </c>
      <c r="Z21" s="11" t="n">
        <f>COUNTIFS('Risk Register'!$Y$7:$Y$106,1,'Risk Register'!$K$7:$K$106,$U21,'Risk Register'!$L$7:$L$106,Z$17)</f>
        <v>0</v>
      </c>
      <c r="AA21" s="9"/>
      <c r="AB21" s="9"/>
    </row>
    <row r="22" spans="1:31" ht="21" customHeight="1">
      <c r="A22" s="18"/>
      <c r="B22" s="18"/>
      <c r="C22" s="18"/>
      <c r="D22" s="18"/>
      <c r="E22" s="9"/>
      <c r="F22" s="9"/>
      <c r="G22" s="9"/>
      <c r="H22" s="9"/>
      <c r="I22" s="9"/>
      <c r="J22" s="9"/>
      <c r="K22" s="9"/>
      <c r="L22" s="9"/>
      <c r="M22" s="9"/>
      <c r="N22" s="9"/>
      <c r="O22" s="9"/>
      <c r="P22" s="9"/>
      <c r="Q22" s="9"/>
      <c r="R22" s="9"/>
      <c r="S22" s="9"/>
      <c r="T22" s="9"/>
      <c r="U22" s="10">
        <v>1</v>
      </c>
      <c r="V22" s="11" t="n">
        <f>COUNTIFS('Risk Register'!$Y$7:$Y$106,1,'Risk Register'!$K$7:$K$106,$U22,'Risk Register'!$L$7:$L$106,V$17)</f>
        <v>0</v>
      </c>
      <c r="W22" s="11" t="n">
        <f>COUNTIFS('Risk Register'!$Y$7:$Y$106,1,'Risk Register'!$K$7:$K$106,$U22,'Risk Register'!$L$7:$L$106,W$17)</f>
        <v>0</v>
      </c>
      <c r="X22" s="11" t="n">
        <f>COUNTIFS('Risk Register'!$Y$7:$Y$106,1,'Risk Register'!$K$7:$K$106,$U22,'Risk Register'!$L$7:$L$106,X$17)</f>
        <v>0</v>
      </c>
      <c r="Y22" s="11" t="n">
        <f>COUNTIFS('Risk Register'!$Y$7:$Y$106,1,'Risk Register'!$K$7:$K$106,$U22,'Risk Register'!$L$7:$L$106,Y$17)</f>
        <v>0</v>
      </c>
      <c r="Z22" s="11" t="n">
        <f>COUNTIFS('Risk Register'!$Y$7:$Y$106,1,'Risk Register'!$K$7:$K$106,$U22,'Risk Register'!$L$7:$L$106,Z$17)</f>
        <v>0</v>
      </c>
      <c r="AA22" s="9"/>
      <c r="AB22" s="9"/>
    </row>
    <row r="23" spans="1:31" ht="21" customHeight="1">
      <c r="A23" s="18"/>
      <c r="B23" s="18"/>
      <c r="C23" s="18"/>
      <c r="D23" s="18"/>
      <c r="E23" s="9"/>
      <c r="F23" s="9"/>
      <c r="G23" s="9"/>
      <c r="H23" s="9"/>
      <c r="I23" s="9"/>
      <c r="J23" s="9"/>
      <c r="K23" s="9"/>
      <c r="L23" s="9"/>
      <c r="M23" s="9"/>
      <c r="N23" s="9"/>
      <c r="O23" s="9"/>
      <c r="P23" s="9"/>
      <c r="Q23" s="9"/>
      <c r="R23" s="9"/>
      <c r="S23" s="9"/>
      <c r="T23" s="9"/>
      <c r="U23" s="9"/>
      <c r="V23" s="9"/>
      <c r="W23" s="9"/>
      <c r="X23" s="9"/>
      <c r="Y23" s="9"/>
      <c r="Z23" s="9"/>
      <c r="AA23" s="9"/>
      <c r="AB23" s="9"/>
    </row>
    <row r="24" spans="1:31" ht="21" customHeight="1">
      <c r="A24" s="18"/>
      <c r="B24" s="18"/>
      <c r="C24" s="18"/>
      <c r="D24" s="18"/>
      <c r="E24" s="9"/>
      <c r="F24" s="9"/>
      <c r="G24" s="9"/>
      <c r="H24" s="9"/>
      <c r="I24" s="9"/>
      <c r="J24" s="9"/>
      <c r="K24" s="9"/>
      <c r="L24" s="9"/>
      <c r="M24" s="9"/>
      <c r="N24" s="9"/>
      <c r="O24" s="9"/>
      <c r="P24" s="9"/>
      <c r="Q24" s="9"/>
      <c r="R24" s="19" t="s">
        <v>139</v>
      </c>
      <c r="S24" s="19"/>
      <c r="T24" s="19"/>
      <c r="U24" s="19"/>
      <c r="V24" s="19"/>
      <c r="W24" s="19"/>
      <c r="X24" s="19"/>
      <c r="Y24" s="19"/>
      <c r="Z24" s="19"/>
      <c r="AA24" s="19"/>
      <c r="AB24" s="19"/>
    </row>
    <row r="25" spans="1:31" ht="21" customHeight="1">
      <c r="A25" s="18"/>
      <c r="B25" s="18"/>
      <c r="C25" s="18"/>
      <c r="D25" s="18"/>
      <c r="E25" s="9"/>
      <c r="F25" s="9"/>
      <c r="G25" s="9"/>
      <c r="H25" s="9"/>
      <c r="I25" s="9"/>
      <c r="J25" s="9"/>
      <c r="K25" s="9"/>
      <c r="L25" s="9"/>
      <c r="M25" s="9"/>
      <c r="N25" s="9"/>
      <c r="O25" s="9"/>
      <c r="P25" s="9"/>
      <c r="Q25" s="9"/>
      <c r="R25" s="19"/>
      <c r="S25" s="19"/>
      <c r="T25" s="19"/>
      <c r="U25" s="19"/>
      <c r="V25" s="19"/>
      <c r="W25" s="19"/>
      <c r="X25" s="19"/>
      <c r="Y25" s="19"/>
      <c r="Z25" s="19"/>
      <c r="AA25" s="19"/>
      <c r="AB25" s="19"/>
    </row>
    <row r="26" spans="1:31" ht="21" customHeight="1">
      <c r="A26" s="18"/>
      <c r="B26" s="18"/>
      <c r="C26" s="18"/>
      <c r="D26" s="18"/>
      <c r="E26" s="9"/>
      <c r="F26" s="9"/>
      <c r="G26" s="9"/>
      <c r="H26" s="9"/>
      <c r="I26" s="9"/>
      <c r="J26" s="9"/>
      <c r="K26" s="9"/>
      <c r="L26" s="9"/>
      <c r="M26" s="9"/>
      <c r="N26" s="9"/>
      <c r="O26" s="9"/>
      <c r="P26" s="9"/>
      <c r="Q26" s="9"/>
      <c r="R26" s="9"/>
      <c r="S26" s="9"/>
      <c r="T26" s="9"/>
      <c r="U26" s="9"/>
      <c r="V26" s="9"/>
      <c r="W26" s="9"/>
      <c r="X26" s="9"/>
      <c r="Y26" s="9"/>
      <c r="Z26" s="9"/>
      <c r="AA26" s="9"/>
      <c r="AB26" s="9"/>
    </row>
    <row r="27" spans="1:31" ht="21" customHeight="1">
      <c r="A27" s="18"/>
      <c r="B27" s="18"/>
      <c r="C27" s="18"/>
      <c r="D27" s="18"/>
      <c r="E27" s="9"/>
      <c r="F27" s="9"/>
      <c r="G27" s="9"/>
      <c r="H27" s="9"/>
      <c r="I27" s="9"/>
      <c r="J27" s="9"/>
      <c r="K27" s="9"/>
      <c r="L27" s="9"/>
      <c r="M27" s="9"/>
      <c r="N27" s="9"/>
      <c r="O27" s="9"/>
      <c r="P27" s="9"/>
      <c r="Q27" s="9"/>
      <c r="R27" s="9"/>
      <c r="S27" s="9"/>
      <c r="T27" s="9"/>
      <c r="U27" s="9"/>
      <c r="V27" s="9"/>
      <c r="W27" s="9"/>
      <c r="X27" s="9"/>
      <c r="Y27" s="9"/>
      <c r="Z27" s="9"/>
      <c r="AA27" s="9"/>
      <c r="AB27" s="9"/>
    </row>
    <row r="28" spans="1:31" ht="21" customHeight="1">
      <c r="A28" s="18"/>
      <c r="B28" s="18"/>
      <c r="C28" s="18"/>
      <c r="D28" s="18"/>
      <c r="E28" s="9"/>
      <c r="F28" s="19" t="str">
        <f>IF(F12=0,"No risks match these filters.","Risk distribution total: "&amp;SUM(AF3:AF6)&amp;" / "&amp;F12&amp;" risks in view")</f>
        <v>Risk distribution total: 1 / 1 risks in view</v>
      </c>
      <c r="G28" s="19"/>
      <c r="H28" s="19"/>
      <c r="I28" s="19"/>
      <c r="J28" s="19"/>
      <c r="K28" s="19"/>
      <c r="L28" s="19"/>
      <c r="M28" s="19"/>
      <c r="N28" s="19"/>
      <c r="O28" s="19"/>
      <c r="P28" s="19"/>
      <c r="Q28" s="9"/>
      <c r="R28" s="9"/>
      <c r="S28" s="9"/>
      <c r="T28" s="9"/>
      <c r="U28" s="9"/>
      <c r="V28" s="9"/>
      <c r="W28" s="9"/>
      <c r="X28" s="9"/>
      <c r="Y28" s="9"/>
      <c r="Z28" s="9"/>
      <c r="AA28" s="9"/>
      <c r="AB28" s="9"/>
    </row>
    <row r="29" spans="1:31" ht="21" customHeight="1">
      <c r="A29" s="18"/>
      <c r="B29" s="18"/>
      <c r="C29" s="18"/>
      <c r="D29" s="18"/>
      <c r="E29" s="9"/>
      <c r="F29" s="9"/>
      <c r="G29" s="9"/>
      <c r="H29" s="9"/>
      <c r="I29" s="9"/>
      <c r="J29" s="9"/>
      <c r="K29" s="9"/>
      <c r="L29" s="9"/>
      <c r="M29" s="9"/>
      <c r="N29" s="9"/>
      <c r="O29" s="9"/>
      <c r="P29" s="9"/>
      <c r="Q29" s="9"/>
      <c r="R29" s="9"/>
      <c r="S29" s="9"/>
      <c r="T29" s="9"/>
      <c r="U29" s="9"/>
      <c r="V29" s="9"/>
      <c r="W29" s="9"/>
      <c r="X29" s="9"/>
      <c r="Y29" s="9"/>
      <c r="Z29" s="9"/>
      <c r="AA29" s="9"/>
      <c r="AB29" s="9"/>
    </row>
    <row r="30" spans="1:31" ht="21" customHeight="1">
      <c r="A30" s="18"/>
      <c r="B30" s="18"/>
      <c r="C30" s="18"/>
      <c r="D30" s="18"/>
      <c r="E30" s="9"/>
      <c r="F30" s="33" t="s">
        <v>140</v>
      </c>
      <c r="G30" s="33"/>
      <c r="H30" s="33"/>
      <c r="I30" s="33"/>
      <c r="J30" s="33"/>
      <c r="K30" s="33"/>
      <c r="L30" s="33"/>
      <c r="M30" s="33"/>
      <c r="N30" s="33"/>
      <c r="O30" s="33"/>
      <c r="P30" s="33"/>
      <c r="Q30" s="9"/>
      <c r="R30" s="33" t="s">
        <v>141</v>
      </c>
      <c r="S30" s="33"/>
      <c r="T30" s="33"/>
      <c r="U30" s="33"/>
      <c r="V30" s="33"/>
      <c r="W30" s="33"/>
      <c r="X30" s="33"/>
      <c r="Y30" s="33"/>
      <c r="Z30" s="33"/>
      <c r="AA30" s="33"/>
      <c r="AB30" s="33"/>
    </row>
    <row r="31" spans="1:31" ht="21" customHeight="1">
      <c r="A31" s="18"/>
      <c r="B31" s="18"/>
      <c r="C31" s="18"/>
      <c r="D31" s="18"/>
      <c r="E31" s="9"/>
      <c r="F31" s="9"/>
      <c r="G31" s="9"/>
      <c r="H31" s="9"/>
      <c r="I31" s="9"/>
      <c r="J31" s="9"/>
      <c r="K31" s="9"/>
      <c r="L31" s="9"/>
      <c r="M31" s="9"/>
      <c r="N31" s="9"/>
      <c r="O31" s="9"/>
      <c r="P31" s="9"/>
      <c r="Q31" s="9"/>
      <c r="R31" s="9"/>
      <c r="S31" s="9"/>
      <c r="T31" s="9"/>
      <c r="U31" s="9"/>
      <c r="V31" s="9"/>
      <c r="W31" s="9"/>
      <c r="X31" s="9"/>
      <c r="Y31" s="9"/>
      <c r="Z31" s="9"/>
      <c r="AA31" s="9"/>
      <c r="AB31" s="9"/>
    </row>
    <row r="32" spans="1:31" ht="21" customHeight="1">
      <c r="A32" s="18"/>
      <c r="B32" s="18"/>
      <c r="C32" s="18"/>
      <c r="D32" s="18"/>
      <c r="E32" s="9"/>
      <c r="F32" s="9"/>
      <c r="G32" s="9"/>
      <c r="H32" s="9"/>
      <c r="I32" s="9"/>
      <c r="J32" s="9"/>
      <c r="K32" s="9"/>
      <c r="L32" s="9"/>
      <c r="M32" s="9"/>
      <c r="N32" s="9"/>
      <c r="O32" s="9"/>
      <c r="P32" s="9"/>
      <c r="Q32" s="9"/>
      <c r="R32" s="34" t="s">
        <v>22</v>
      </c>
      <c r="S32" s="34"/>
      <c r="T32" s="34"/>
      <c r="U32" s="34"/>
      <c r="V32" s="34"/>
      <c r="W32" s="34"/>
      <c r="X32" s="34"/>
      <c r="Y32" s="35" t="str">
        <f>'Risk Register'!M7&amp;" / "&amp;'Risk Register'!N7</f>
        <v>12 / High</v>
      </c>
      <c r="Z32" s="35"/>
      <c r="AA32" s="35"/>
      <c r="AB32" s="35"/>
    </row>
    <row r="33" spans="1:28" ht="21" customHeight="1">
      <c r="A33" s="18"/>
      <c r="B33" s="18"/>
      <c r="C33" s="18"/>
      <c r="D33" s="18"/>
      <c r="E33" s="9"/>
      <c r="F33" s="9"/>
      <c r="G33" s="9"/>
      <c r="H33" s="9"/>
      <c r="I33" s="9"/>
      <c r="J33" s="9"/>
      <c r="K33" s="9"/>
      <c r="L33" s="9"/>
      <c r="M33" s="9"/>
      <c r="N33" s="9"/>
      <c r="O33" s="9"/>
      <c r="P33" s="9"/>
      <c r="Q33" s="9"/>
      <c r="R33" s="34"/>
      <c r="S33" s="34"/>
      <c r="T33" s="34"/>
      <c r="U33" s="34"/>
      <c r="V33" s="34"/>
      <c r="W33" s="34"/>
      <c r="X33" s="34"/>
      <c r="Y33" s="35"/>
      <c r="Z33" s="35"/>
      <c r="AA33" s="35"/>
      <c r="AB33" s="35"/>
    </row>
    <row r="34" spans="1:28" ht="21" customHeight="1">
      <c r="A34" s="18"/>
      <c r="B34" s="18"/>
      <c r="C34" s="18"/>
      <c r="D34" s="18"/>
      <c r="E34" s="9"/>
      <c r="F34" s="9"/>
      <c r="G34" s="9"/>
      <c r="H34" s="9"/>
      <c r="I34" s="9"/>
      <c r="J34" s="9"/>
      <c r="K34" s="9"/>
      <c r="L34" s="9"/>
      <c r="M34" s="9"/>
      <c r="N34" s="9"/>
      <c r="O34" s="9"/>
      <c r="P34" s="9"/>
      <c r="Q34" s="9"/>
      <c r="R34" s="9"/>
      <c r="S34" s="9"/>
      <c r="T34" s="9"/>
      <c r="U34" s="9"/>
      <c r="V34" s="9"/>
      <c r="W34" s="9"/>
      <c r="X34" s="9"/>
      <c r="Y34" s="9"/>
      <c r="Z34" s="9"/>
      <c r="AA34" s="9"/>
      <c r="AB34" s="9"/>
    </row>
    <row r="35" spans="1:28" ht="21" customHeight="1">
      <c r="A35" s="18"/>
      <c r="B35" s="18"/>
      <c r="C35" s="18"/>
      <c r="D35" s="18"/>
      <c r="E35" s="9"/>
      <c r="F35" s="9"/>
      <c r="G35" s="9"/>
      <c r="H35" s="9"/>
      <c r="I35" s="9"/>
      <c r="J35" s="9"/>
      <c r="K35" s="9"/>
      <c r="L35" s="9"/>
      <c r="M35" s="9"/>
      <c r="N35" s="9"/>
      <c r="O35" s="9"/>
      <c r="P35" s="9"/>
      <c r="Q35" s="9"/>
      <c r="R35" s="36" t="s">
        <v>142</v>
      </c>
      <c r="S35" s="36"/>
      <c r="T35" s="36"/>
      <c r="U35" s="36"/>
      <c r="V35" s="36"/>
      <c r="W35" s="36"/>
      <c r="X35" s="36"/>
      <c r="Y35" s="36"/>
      <c r="Z35" s="36"/>
      <c r="AA35" s="36"/>
      <c r="AB35" s="36"/>
    </row>
    <row r="36" spans="1:28" ht="21" customHeight="1">
      <c r="A36" s="18"/>
      <c r="B36" s="18"/>
      <c r="C36" s="18"/>
      <c r="D36" s="18"/>
      <c r="E36" s="9"/>
      <c r="F36" s="9"/>
      <c r="G36" s="9"/>
      <c r="H36" s="9"/>
      <c r="I36" s="9"/>
      <c r="J36" s="9"/>
      <c r="K36" s="9"/>
      <c r="L36" s="9"/>
      <c r="M36" s="9"/>
      <c r="N36" s="9"/>
      <c r="O36" s="9"/>
      <c r="P36" s="9"/>
      <c r="Q36" s="9"/>
      <c r="R36" s="36"/>
      <c r="S36" s="36"/>
      <c r="T36" s="36"/>
      <c r="U36" s="36"/>
      <c r="V36" s="36"/>
      <c r="W36" s="36"/>
      <c r="X36" s="36"/>
      <c r="Y36" s="36"/>
      <c r="Z36" s="36"/>
      <c r="AA36" s="36"/>
      <c r="AB36" s="36"/>
    </row>
    <row r="37" spans="1:28" ht="21" customHeight="1">
      <c r="A37" s="18"/>
      <c r="B37" s="18"/>
      <c r="C37" s="18"/>
      <c r="D37" s="18"/>
      <c r="E37" s="9"/>
      <c r="F37" s="9"/>
      <c r="G37" s="9"/>
      <c r="H37" s="9"/>
      <c r="I37" s="9"/>
      <c r="J37" s="9"/>
      <c r="K37" s="9"/>
      <c r="L37" s="9"/>
      <c r="M37" s="9"/>
      <c r="N37" s="9"/>
      <c r="O37" s="9"/>
      <c r="P37" s="9"/>
      <c r="Q37" s="9"/>
      <c r="R37" s="36"/>
      <c r="S37" s="36"/>
      <c r="T37" s="36"/>
      <c r="U37" s="36"/>
      <c r="V37" s="36"/>
      <c r="W37" s="36"/>
      <c r="X37" s="36"/>
      <c r="Y37" s="36"/>
      <c r="Z37" s="36"/>
      <c r="AA37" s="36"/>
      <c r="AB37" s="36"/>
    </row>
    <row r="38" spans="1:28" ht="21" customHeight="1">
      <c r="A38" s="18"/>
      <c r="B38" s="18"/>
      <c r="C38" s="18"/>
      <c r="D38" s="18"/>
      <c r="E38" s="9"/>
      <c r="F38" s="9"/>
      <c r="G38" s="9"/>
      <c r="H38" s="9"/>
      <c r="I38" s="9"/>
      <c r="J38" s="9"/>
      <c r="K38" s="9"/>
      <c r="L38" s="9"/>
      <c r="M38" s="9"/>
      <c r="N38" s="9"/>
      <c r="O38" s="9"/>
      <c r="P38" s="9"/>
      <c r="Q38" s="9"/>
      <c r="R38" s="9"/>
      <c r="S38" s="9"/>
      <c r="T38" s="9"/>
      <c r="U38" s="9"/>
      <c r="V38" s="9"/>
      <c r="W38" s="9"/>
      <c r="X38" s="9"/>
      <c r="Y38" s="9"/>
      <c r="Z38" s="9"/>
      <c r="AA38" s="9"/>
      <c r="AB38" s="9"/>
    </row>
    <row r="39" spans="1:28" ht="21" customHeight="1">
      <c r="A39" s="18"/>
      <c r="B39" s="18"/>
      <c r="C39" s="18"/>
      <c r="D39" s="18"/>
      <c r="E39" s="9"/>
      <c r="F39" s="9"/>
      <c r="G39" s="9"/>
      <c r="H39" s="9"/>
      <c r="I39" s="9"/>
      <c r="J39" s="9"/>
      <c r="K39" s="9"/>
      <c r="L39" s="9"/>
      <c r="M39" s="9"/>
      <c r="N39" s="9"/>
      <c r="O39" s="9"/>
      <c r="P39" s="9"/>
      <c r="Q39" s="9"/>
      <c r="R39" s="19" t="s">
        <v>143</v>
      </c>
      <c r="S39" s="19"/>
      <c r="T39" s="19"/>
      <c r="U39" s="19"/>
      <c r="V39" s="19"/>
      <c r="W39" s="19"/>
      <c r="X39" s="19"/>
      <c r="Y39" s="19"/>
      <c r="Z39" s="19"/>
      <c r="AA39" s="9"/>
      <c r="AB39" s="9" t="n">
        <f>COUNTIFS('Evidence Tracker'!$E$7:$E$106,"&lt;&gt;",'Evidence Tracker'!$Q$7:$Q$106,"Validated")</f>
        <v>0</v>
      </c>
    </row>
    <row r="40" spans="1:28" ht="21" customHeight="1">
      <c r="A40" s="18"/>
      <c r="B40" s="18"/>
      <c r="C40" s="18"/>
      <c r="D40" s="18"/>
      <c r="E40" s="9"/>
      <c r="F40" s="9"/>
      <c r="G40" s="9"/>
      <c r="H40" s="9"/>
      <c r="I40" s="9"/>
      <c r="J40" s="9"/>
      <c r="K40" s="9"/>
      <c r="L40" s="9"/>
      <c r="M40" s="9"/>
      <c r="N40" s="9"/>
      <c r="O40" s="9"/>
      <c r="P40" s="9"/>
      <c r="Q40" s="9"/>
      <c r="R40" s="19" t="s">
        <v>144</v>
      </c>
      <c r="S40" s="19"/>
      <c r="T40" s="19"/>
      <c r="U40" s="19"/>
      <c r="V40" s="19"/>
      <c r="W40" s="19"/>
      <c r="X40" s="19"/>
      <c r="Y40" s="19"/>
      <c r="Z40" s="19"/>
      <c r="AA40" s="9"/>
      <c r="AB40" s="9" t="n">
        <f ca="1">COUNTIFS('Remediation Tracker'!$O$7:$O$106,"&gt;0")</f>
        <v>0</v>
      </c>
    </row>
    <row r="41" spans="1:28" ht="21" customHeight="1">
      <c r="A41" s="18"/>
      <c r="B41" s="18"/>
      <c r="C41" s="18"/>
      <c r="D41" s="18"/>
      <c r="E41" s="9"/>
      <c r="F41" s="9"/>
      <c r="G41" s="9"/>
      <c r="H41" s="9"/>
      <c r="I41" s="9"/>
      <c r="J41" s="9"/>
      <c r="K41" s="9"/>
      <c r="L41" s="9"/>
      <c r="M41" s="9"/>
      <c r="N41" s="9"/>
      <c r="O41" s="9"/>
      <c r="P41" s="9"/>
      <c r="Q41" s="9"/>
      <c r="R41" s="9"/>
      <c r="S41" s="9"/>
      <c r="T41" s="9"/>
      <c r="U41" s="9"/>
      <c r="V41" s="9"/>
      <c r="W41" s="9"/>
      <c r="X41" s="9"/>
      <c r="Y41" s="9"/>
      <c r="Z41" s="9"/>
      <c r="AA41" s="9"/>
      <c r="AB41" s="9"/>
    </row>
    <row r="42" spans="1:28" ht="21" customHeight="1">
      <c r="A42" s="18"/>
      <c r="B42" s="18"/>
      <c r="C42" s="18"/>
      <c r="D42" s="18"/>
      <c r="E42" s="9"/>
      <c r="F42" s="9"/>
      <c r="G42" s="9"/>
      <c r="H42" s="9"/>
      <c r="I42" s="9"/>
      <c r="J42" s="9"/>
      <c r="K42" s="9"/>
      <c r="L42" s="9"/>
      <c r="M42" s="9"/>
      <c r="N42" s="9"/>
      <c r="O42" s="9"/>
      <c r="P42" s="9"/>
      <c r="Q42" s="9"/>
      <c r="R42" s="9"/>
      <c r="S42" s="9"/>
      <c r="T42" s="9"/>
      <c r="U42" s="9"/>
      <c r="V42" s="9"/>
      <c r="W42" s="9"/>
      <c r="X42" s="9"/>
      <c r="Y42" s="9"/>
      <c r="Z42" s="9"/>
      <c r="AA42" s="9"/>
      <c r="AB42" s="9"/>
    </row>
    <row r="43" spans="1:28" ht="21" customHeight="1">
      <c r="A43" s="18"/>
      <c r="B43" s="18"/>
      <c r="C43" s="18"/>
      <c r="D43" s="18"/>
      <c r="E43" s="9"/>
      <c r="F43" s="36" t="s">
        <v>145</v>
      </c>
      <c r="G43" s="36"/>
      <c r="H43" s="36"/>
      <c r="I43" s="36"/>
      <c r="J43" s="36"/>
      <c r="K43" s="36"/>
      <c r="L43" s="36"/>
      <c r="M43" s="36"/>
      <c r="N43" s="36"/>
      <c r="O43" s="36"/>
      <c r="P43" s="36"/>
      <c r="Q43" s="36"/>
      <c r="R43" s="36"/>
      <c r="S43" s="36"/>
      <c r="T43" s="36"/>
      <c r="U43" s="36"/>
      <c r="V43" s="36"/>
      <c r="W43" s="36"/>
      <c r="X43" s="36"/>
      <c r="Y43" s="36"/>
      <c r="Z43" s="36"/>
      <c r="AA43" s="36"/>
      <c r="AB43" s="36"/>
    </row>
    <row r="44" spans="1:28" ht="21" customHeight="1">
      <c r="A44" s="18"/>
      <c r="B44" s="18"/>
      <c r="C44" s="18"/>
      <c r="D44" s="18"/>
      <c r="E44" s="9"/>
      <c r="F44" s="36"/>
      <c r="G44" s="36"/>
      <c r="H44" s="36"/>
      <c r="I44" s="36"/>
      <c r="J44" s="36"/>
      <c r="K44" s="36"/>
      <c r="L44" s="36"/>
      <c r="M44" s="36"/>
      <c r="N44" s="36"/>
      <c r="O44" s="36"/>
      <c r="P44" s="36"/>
      <c r="Q44" s="36"/>
      <c r="R44" s="36"/>
      <c r="S44" s="36"/>
      <c r="T44" s="36"/>
      <c r="U44" s="36"/>
      <c r="V44" s="36"/>
      <c r="W44" s="36"/>
      <c r="X44" s="36"/>
      <c r="Y44" s="36"/>
      <c r="Z44" s="36"/>
      <c r="AA44" s="36"/>
      <c r="AB44" s="36"/>
    </row>
    <row r="45" spans="1:28" ht="24.95" customHeight="1"/>
    <row r="46" spans="1:28" ht="24.95" customHeight="1"/>
    <row r="47" spans="1:28" ht="24.95" customHeight="1"/>
    <row r="48" spans="1:28" ht="24.95" customHeight="1"/>
    <row r="49" ht="24.95" customHeight="1"/>
    <row r="50" ht="24.95" customHeight="1"/>
    <row r="51" ht="24.95" customHeight="1"/>
    <row r="52" ht="24.95" customHeight="1"/>
    <row r="53" ht="24.95" customHeight="1"/>
    <row r="54" ht="24.95" customHeight="1"/>
    <row r="55" ht="24.95" customHeight="1"/>
    <row r="56" ht="24.95" customHeight="1"/>
    <row r="57" ht="32.1" customHeight="1"/>
    <row r="58" ht="32.1" customHeight="1"/>
    <row r="59" ht="32.1" customHeight="1"/>
    <row r="60" ht="32.1" customHeight="1"/>
    <row r="61" ht="32.1" customHeight="1"/>
    <row r="62" ht="32.1" customHeight="1"/>
    <row r="63" ht="24.95" customHeight="1"/>
    <row r="64" ht="24.95" customHeight="1"/>
  </sheetData>
  <mergeCells count="26">
    <mergeCell ref="F43:AB44"/>
    <mergeCell ref="L6:Q6"/>
    <mergeCell ref="R32:X33"/>
    <mergeCell ref="Y32:AB33"/>
    <mergeCell ref="R35:AB37"/>
    <mergeCell ref="R39:Z39"/>
    <mergeCell ref="R40:Z40"/>
    <mergeCell ref="F15:P15"/>
    <mergeCell ref="R15:AB15"/>
    <mergeCell ref="R24:AB25"/>
    <mergeCell ref="F28:P28"/>
    <mergeCell ref="F30:P30"/>
    <mergeCell ref="R30:AB30"/>
    <mergeCell ref="F8:AB8"/>
    <mergeCell ref="F10:J11"/>
    <mergeCell ref="F12:J13"/>
    <mergeCell ref="L10:P11"/>
    <mergeCell ref="L12:P13"/>
    <mergeCell ref="R10:V11"/>
    <mergeCell ref="R12:V13"/>
    <mergeCell ref="X10:AB11"/>
    <mergeCell ref="X12:AB13"/>
    <mergeCell ref="F5:AB5"/>
    <mergeCell ref="L7:Q7"/>
    <mergeCell ref="T6:AB6"/>
    <mergeCell ref="T7:Y7"/>
  </mergeCells>
  <conditionalFormatting sqref="V18:Z22">
    <cfRule type="expression" dxfId="39" priority="101">
      <formula>$U18*V$17&lt;$AE$16</formula>
    </cfRule>
    <cfRule type="expression" dxfId="38" priority="102">
      <formula>AND($U18*V$17&gt;=$AE$16,$U18*V$17&lt;$AF$16)</formula>
    </cfRule>
    <cfRule type="expression" dxfId="37" priority="103">
      <formula>AND($U18*V$17&gt;=$AF$16,$U18*V$17&lt;$AG$16)</formula>
    </cfRule>
    <cfRule type="expression" dxfId="36" priority="104">
      <formula>$U18*V$17&gt;=$AG$16</formula>
    </cfRule>
    <cfRule type="expression" dxfId="35" priority="205">
      <formula>$U18*V$17&lt;$AE$16</formula>
    </cfRule>
    <cfRule type="expression" dxfId="34" priority="206">
      <formula>AND($U18*V$17&gt;=$AE$16,$U18*V$17&lt;$AF$16)</formula>
    </cfRule>
    <cfRule type="expression" dxfId="33" priority="207">
      <formula>AND($U18*V$17&gt;=$AF$16,$U18*V$17&lt;$AG$16)</formula>
    </cfRule>
    <cfRule type="expression" dxfId="32" priority="208">
      <formula>$U18*V$17&gt;=$AG$16</formula>
    </cfRule>
  </conditionalFormatting>
  <conditionalFormatting sqref="Y32:AB33">
    <cfRule type="expression" dxfId="31" priority="305">
      <formula>$AE$17="Low"</formula>
    </cfRule>
    <cfRule type="expression" dxfId="30" priority="306">
      <formula>$AE$17="Moderate"</formula>
    </cfRule>
    <cfRule type="expression" dxfId="29" priority="307">
      <formula>$AE$17="High"</formula>
    </cfRule>
    <cfRule type="expression" dxfId="28" priority="308">
      <formula>$AE$17="Critical"</formula>
    </cfRule>
  </conditionalFormatting>
  <dataValidations count="2">
    <dataValidation type="list" allowBlank="1" showErrorMessage="1" errorTitle="Select an allowed option" error="Choose a dropdown value or leave an unknown input blank." sqref="L7" xr:uid="{00000000-0002-0000-0000-000000000000}">
      <formula1>"All,Pending validation,Validated,Rejected"</formula1>
    </dataValidation>
    <dataValidation type="list" allowBlank="1" showErrorMessage="1" errorTitle="Select an allowed option" error="Choose a dropdown value or leave an unknown input blank." sqref="T7" xr:uid="{00000000-0002-0000-0000-000001000000}">
      <formula1>"All,Low,Moderate,High,Critical"</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02F47"/>
  </sheetPr>
  <dimension ref="A1:Y110"/>
  <sheetViews>
    <sheetView showGridLines="0" showRowColHeaders="0" zoomScale="75" workbookViewId="0">
      <pane xSplit="6" ySplit="6" topLeftCell="G7" activePane="bottomRight" state="frozen"/>
      <selection pane="topRight"/>
      <selection pane="bottomLeft"/>
      <selection pane="bottomRight"/>
    </sheetView>
  </sheetViews>
  <sheetFormatPr defaultRowHeight="14.25"/>
  <cols>
    <col min="1" max="4" width="7.25" customWidth="1"/>
    <col min="5" max="5" width="13" customWidth="1"/>
    <col min="6" max="6" width="29" customWidth="1"/>
    <col min="7" max="8" width="48" customWidth="1"/>
    <col min="9" max="9" width="25" customWidth="1"/>
    <col min="10" max="10" width="21" customWidth="1"/>
    <col min="11" max="12" width="13" customWidth="1"/>
    <col min="13" max="13" width="15" customWidth="1"/>
    <col min="14" max="14" width="16" customWidth="1"/>
    <col min="15" max="15" width="29" customWidth="1"/>
    <col min="16" max="16" width="16" customWidth="1"/>
    <col min="17" max="19" width="22" customWidth="1"/>
    <col min="20" max="22" width="15" customWidth="1"/>
    <col min="23" max="23" width="16" customWidth="1"/>
    <col min="24" max="24" width="45" customWidth="1"/>
    <col min="25" max="25" width="18" customWidth="1"/>
  </cols>
  <sheetData>
    <row r="1" spans="1:25" ht="28.5" customHeight="1">
      <c r="A1" s="18"/>
      <c r="B1" s="18"/>
      <c r="C1" s="18"/>
      <c r="D1" s="18"/>
      <c r="E1" s="14"/>
      <c r="F1" s="14"/>
      <c r="G1" s="14"/>
      <c r="H1" s="14"/>
      <c r="I1" s="14"/>
      <c r="J1" s="14"/>
      <c r="K1" s="14"/>
      <c r="L1" s="14"/>
      <c r="M1" s="14"/>
      <c r="N1" s="14"/>
      <c r="O1" s="14"/>
      <c r="P1" s="14"/>
      <c r="Q1" s="14"/>
      <c r="R1" s="14"/>
      <c r="S1" s="14"/>
      <c r="T1" s="14"/>
      <c r="U1" s="14"/>
      <c r="V1" s="14"/>
      <c r="W1" s="14"/>
      <c r="X1" s="14"/>
      <c r="Y1" s="14"/>
    </row>
    <row r="2" spans="1:25" ht="28.5" customHeight="1">
      <c r="A2" s="18"/>
      <c r="B2" s="18"/>
      <c r="C2" s="18"/>
      <c r="D2" s="18"/>
      <c r="E2" s="14"/>
      <c r="F2" s="14"/>
      <c r="G2" s="14"/>
      <c r="H2" s="14"/>
      <c r="I2" s="14"/>
      <c r="J2" s="14"/>
      <c r="K2" s="14"/>
      <c r="L2" s="14"/>
      <c r="M2" s="14"/>
      <c r="N2" s="14"/>
      <c r="O2" s="14"/>
      <c r="P2" s="14"/>
      <c r="Q2" s="14"/>
      <c r="R2" s="14"/>
      <c r="S2" s="14"/>
      <c r="T2" s="14"/>
      <c r="U2" s="14"/>
      <c r="V2" s="14"/>
      <c r="W2" s="14"/>
      <c r="X2" s="14"/>
      <c r="Y2" s="14"/>
    </row>
    <row r="3" spans="1:25" ht="15" customHeight="1">
      <c r="A3" s="18"/>
      <c r="B3" s="18"/>
      <c r="C3" s="18"/>
      <c r="D3" s="18"/>
      <c r="E3" s="15"/>
      <c r="F3" s="15"/>
      <c r="G3" s="15"/>
      <c r="H3" s="15"/>
      <c r="I3" s="15"/>
      <c r="J3" s="15"/>
      <c r="K3" s="15"/>
      <c r="L3" s="15"/>
      <c r="M3" s="15"/>
      <c r="N3" s="15"/>
      <c r="O3" s="15"/>
      <c r="P3" s="15"/>
      <c r="Q3" s="15"/>
      <c r="R3" s="15"/>
      <c r="S3" s="15"/>
      <c r="T3" s="15"/>
      <c r="U3" s="15"/>
      <c r="V3" s="15"/>
      <c r="W3" s="15"/>
      <c r="X3" s="15"/>
      <c r="Y3" s="15"/>
    </row>
    <row r="4" spans="1:25" ht="15" customHeight="1">
      <c r="A4" s="18"/>
      <c r="B4" s="18"/>
      <c r="C4" s="18"/>
      <c r="D4" s="18"/>
      <c r="E4" s="15"/>
      <c r="F4" s="15"/>
      <c r="G4" s="15"/>
      <c r="H4" s="15"/>
      <c r="I4" s="15"/>
      <c r="J4" s="15"/>
      <c r="K4" s="15"/>
      <c r="L4" s="15"/>
      <c r="M4" s="15"/>
      <c r="N4" s="15"/>
      <c r="O4" s="15"/>
      <c r="P4" s="15"/>
      <c r="Q4" s="15"/>
      <c r="R4" s="15"/>
      <c r="S4" s="15"/>
      <c r="T4" s="15"/>
      <c r="U4" s="15"/>
      <c r="V4" s="15"/>
      <c r="W4" s="15"/>
      <c r="X4" s="15"/>
      <c r="Y4" s="15"/>
    </row>
    <row r="5" spans="1:25" ht="21" customHeight="1">
      <c r="A5" s="18"/>
      <c r="B5" s="18"/>
      <c r="C5" s="18"/>
      <c r="D5" s="18"/>
      <c r="E5" s="19" t="s">
        <v>146</v>
      </c>
      <c r="F5" s="19"/>
      <c r="G5" s="19"/>
      <c r="H5" s="19"/>
      <c r="I5" s="19"/>
      <c r="J5" s="19"/>
      <c r="K5" s="19"/>
      <c r="L5" s="19"/>
      <c r="M5" s="19"/>
      <c r="N5" s="19"/>
      <c r="O5" s="19"/>
      <c r="P5" s="19"/>
      <c r="Q5" s="19"/>
      <c r="R5" s="19"/>
      <c r="S5" s="19"/>
      <c r="T5" s="19"/>
      <c r="U5" s="19"/>
      <c r="V5" s="19"/>
      <c r="W5" s="19"/>
      <c r="X5" s="19"/>
      <c r="Y5" s="19"/>
    </row>
    <row r="6" spans="1:25" ht="45.95" customHeight="1">
      <c r="A6" s="18"/>
      <c r="B6" s="18"/>
      <c r="C6" s="18"/>
      <c r="D6" s="18"/>
      <c r="E6" s="2" t="s">
        <v>0</v>
      </c>
      <c r="F6" s="2" t="s">
        <v>1</v>
      </c>
      <c r="G6" s="2" t="s">
        <v>2</v>
      </c>
      <c r="H6" s="2" t="s">
        <v>3</v>
      </c>
      <c r="I6" s="2" t="s">
        <v>4</v>
      </c>
      <c r="J6" s="2" t="s">
        <v>5</v>
      </c>
      <c r="K6" s="2" t="s">
        <v>6</v>
      </c>
      <c r="L6" s="2" t="s">
        <v>7</v>
      </c>
      <c r="M6" s="2" t="s">
        <v>8</v>
      </c>
      <c r="N6" s="2" t="s">
        <v>9</v>
      </c>
      <c r="O6" s="2" t="s">
        <v>10</v>
      </c>
      <c r="P6" s="2" t="s">
        <v>11</v>
      </c>
      <c r="Q6" s="2" t="s">
        <v>12</v>
      </c>
      <c r="R6" s="2" t="s">
        <v>13</v>
      </c>
      <c r="S6" s="2" t="s">
        <v>14</v>
      </c>
      <c r="T6" s="2" t="s">
        <v>15</v>
      </c>
      <c r="U6" s="2" t="s">
        <v>16</v>
      </c>
      <c r="V6" s="2" t="s">
        <v>17</v>
      </c>
      <c r="W6" s="2" t="s">
        <v>18</v>
      </c>
      <c r="X6" s="2" t="s">
        <v>19</v>
      </c>
      <c r="Y6" s="2" t="s">
        <v>20</v>
      </c>
    </row>
    <row r="7" spans="1:25" ht="117.95" customHeight="1">
      <c r="A7" s="18"/>
      <c r="B7" s="18"/>
      <c r="C7" s="18"/>
      <c r="D7" s="18"/>
      <c r="E7" s="3" t="s">
        <v>21</v>
      </c>
      <c r="F7" s="3" t="s">
        <v>22</v>
      </c>
      <c r="G7" s="3" t="s">
        <v>23</v>
      </c>
      <c r="H7" s="3" t="s">
        <v>24</v>
      </c>
      <c r="I7" s="3" t="s">
        <v>25</v>
      </c>
      <c r="J7" s="3" t="s">
        <v>26</v>
      </c>
      <c r="K7" s="3">
        <v>3</v>
      </c>
      <c r="L7" s="3">
        <v>4</v>
      </c>
      <c r="M7" s="4" t="n">
        <f t="shared" ref="M7:M38" si="0">IF(E7="","",IF(OR(K7="",L7=""),"",IF(AND(ISNUMBER(K7),ISNUMBER(L7),K7&gt;=1,K7&lt;=5,L7&gt;=1,L7&lt;=5,MOD(K7,1)=0,MOD(L7,1)=0),K7*L7,"Invalid input")))</f>
        <v>12</v>
      </c>
      <c r="N7" s="4" t="str">
        <f>IF(M7="","",IF(ISNUMBER(M7),IF(M7&lt;'Scoring Methodology'!$F$16,"Low",IF(M7&lt;'Scoring Methodology'!$F$17,"Moderate",IF(M7&lt;'Scoring Methodology'!$F$18,"High","Critical"))),"Invalid input"))</f>
        <v>High</v>
      </c>
      <c r="O7" s="3" t="s">
        <v>27</v>
      </c>
      <c r="P7" s="3" t="s">
        <v>28</v>
      </c>
      <c r="Q7" s="3" t="s">
        <v>29</v>
      </c>
      <c r="R7" s="3" t="s">
        <v>30</v>
      </c>
      <c r="S7" s="3"/>
      <c r="T7" s="3"/>
      <c r="U7" s="3"/>
      <c r="V7" s="4" t="str">
        <f t="shared" ref="V7:V38" si="1">IF(E7="","",IF(OR(T7="",U7=""),"",IF(AND(ISNUMBER(T7),ISNUMBER(U7),T7&gt;=1,T7&lt;=5,U7&gt;=1,U7&lt;=5,MOD(T7,1)=0,MOD(U7,1)=0),T7*U7,"Invalid input")))</f>
      </c>
      <c r="W7" s="4" t="str">
        <f>IF(V7="","",IF(ISNUMBER(V7),IF(V7&lt;'Scoring Methodology'!$F$16,"Low",IF(V7&lt;'Scoring Methodology'!$F$17,"Moderate",IF(V7&lt;'Scoring Methodology'!$F$18,"High","Critical"))),"Invalid input"))</f>
      </c>
      <c r="X7" s="3" t="s">
        <v>31</v>
      </c>
      <c r="Y7" s="4" t="n">
        <f>IF(E7="",0,IF(AND(OR(Dashboard!$L$7="All",Q7=Dashboard!$L$7),OR(Dashboard!$T$7="All",N7=Dashboard!$T$7)),1,0))</f>
        <v>1</v>
      </c>
    </row>
    <row r="8" spans="1:25" ht="26.1" customHeight="1">
      <c r="A8" s="18"/>
      <c r="B8" s="18"/>
      <c r="C8" s="18"/>
      <c r="D8" s="18"/>
      <c r="E8" s="3"/>
      <c r="F8" s="3"/>
      <c r="G8" s="3"/>
      <c r="H8" s="3"/>
      <c r="I8" s="3"/>
      <c r="J8" s="3"/>
      <c r="K8" s="3"/>
      <c r="L8" s="3"/>
      <c r="M8" s="4" t="n">
        <f t="shared" si="0"/>
        <v>25</v>
      </c>
      <c r="N8" s="4" t="str">
        <f>IF(M8="","",IF(ISNUMBER(M8),IF(M8&lt;'Scoring Methodology'!$F$16,"Low",IF(M8&lt;'Scoring Methodology'!$F$17,"Moderate",IF(M8&lt;'Scoring Methodology'!$F$18,"High","Critical"))),"Invalid input"))</f>
        <v>Critical</v>
      </c>
      <c r="O8" s="3"/>
      <c r="P8" s="3"/>
      <c r="Q8" s="3"/>
      <c r="R8" s="3"/>
      <c r="S8" s="3"/>
      <c r="T8" s="3"/>
      <c r="U8" s="3"/>
      <c r="V8" s="4" t="n">
        <f t="shared" si="1"/>
        <v>25</v>
      </c>
      <c r="W8" s="4" t="str">
        <f>IF(V8="","",IF(ISNUMBER(V8),IF(V8&lt;'Scoring Methodology'!$F$16,"Low",IF(V8&lt;'Scoring Methodology'!$F$17,"Moderate",IF(V8&lt;'Scoring Methodology'!$F$18,"High","Critical"))),"Invalid input"))</f>
        <v>Critical</v>
      </c>
      <c r="X8" s="3"/>
      <c r="Y8" s="4" t="n">
        <f>IF(E8="",0,IF(AND(OR(Dashboard!$L$7="All",Q8=Dashboard!$L$7),OR(Dashboard!$T$7="All",N8=Dashboard!$T$7)),1,0))</f>
        <v>0</v>
      </c>
    </row>
    <row r="9" spans="1:25" ht="26.1" customHeight="1">
      <c r="A9" s="18"/>
      <c r="B9" s="18"/>
      <c r="C9" s="18"/>
      <c r="D9" s="18"/>
      <c r="E9" s="3"/>
      <c r="F9" s="3"/>
      <c r="G9" s="3"/>
      <c r="H9" s="3"/>
      <c r="I9" s="3"/>
      <c r="J9" s="3"/>
      <c r="K9" s="3"/>
      <c r="L9" s="3"/>
      <c r="M9" s="4" t="str">
        <f t="shared" si="0"/>
      </c>
      <c r="N9" s="4" t="str">
        <f>IF(M9="","",IF(ISNUMBER(M9),IF(M9&lt;'Scoring Methodology'!$F$16,"Low",IF(M9&lt;'Scoring Methodology'!$F$17,"Moderate",IF(M9&lt;'Scoring Methodology'!$F$18,"High","Critical"))),"Invalid input"))</f>
      </c>
      <c r="O9" s="3"/>
      <c r="P9" s="3"/>
      <c r="Q9" s="3"/>
      <c r="R9" s="3"/>
      <c r="S9" s="3"/>
      <c r="T9" s="3"/>
      <c r="U9" s="3"/>
      <c r="V9" s="4" t="str">
        <f t="shared" si="1"/>
      </c>
      <c r="W9" s="4" t="str">
        <f>IF(V9="","",IF(ISNUMBER(V9),IF(V9&lt;'Scoring Methodology'!$F$16,"Low",IF(V9&lt;'Scoring Methodology'!$F$17,"Moderate",IF(V9&lt;'Scoring Methodology'!$F$18,"High","Critical"))),"Invalid input"))</f>
      </c>
      <c r="X9" s="3"/>
      <c r="Y9" s="4" t="n">
        <f>IF(E9="",0,IF(AND(OR(Dashboard!$L$7="All",Q9=Dashboard!$L$7),OR(Dashboard!$T$7="All",N9=Dashboard!$T$7)),1,0))</f>
        <v>0</v>
      </c>
    </row>
    <row r="10" spans="1:25" ht="26.1" customHeight="1">
      <c r="A10" s="18"/>
      <c r="B10" s="18"/>
      <c r="C10" s="18"/>
      <c r="D10" s="18"/>
      <c r="E10" s="3"/>
      <c r="F10" s="3"/>
      <c r="G10" s="3"/>
      <c r="H10" s="3"/>
      <c r="I10" s="3"/>
      <c r="J10" s="3"/>
      <c r="K10" s="3"/>
      <c r="L10" s="3"/>
      <c r="M10" s="4" t="str">
        <f t="shared" si="0"/>
      </c>
      <c r="N10" s="4" t="str">
        <f>IF(M10="","",IF(ISNUMBER(M10),IF(M10&lt;'Scoring Methodology'!$F$16,"Low",IF(M10&lt;'Scoring Methodology'!$F$17,"Moderate",IF(M10&lt;'Scoring Methodology'!$F$18,"High","Critical"))),"Invalid input"))</f>
      </c>
      <c r="O10" s="3"/>
      <c r="P10" s="3"/>
      <c r="Q10" s="3"/>
      <c r="R10" s="3"/>
      <c r="S10" s="3"/>
      <c r="T10" s="3"/>
      <c r="U10" s="3"/>
      <c r="V10" s="4" t="str">
        <f t="shared" si="1"/>
      </c>
      <c r="W10" s="4" t="str">
        <f>IF(V10="","",IF(ISNUMBER(V10),IF(V10&lt;'Scoring Methodology'!$F$16,"Low",IF(V10&lt;'Scoring Methodology'!$F$17,"Moderate",IF(V10&lt;'Scoring Methodology'!$F$18,"High","Critical"))),"Invalid input"))</f>
      </c>
      <c r="X10" s="3"/>
      <c r="Y10" s="4" t="n">
        <f>IF(E10="",0,IF(AND(OR(Dashboard!$L$7="All",Q10=Dashboard!$L$7),OR(Dashboard!$T$7="All",N10=Dashboard!$T$7)),1,0))</f>
        <v>0</v>
      </c>
    </row>
    <row r="11" spans="1:25" ht="26.1" customHeight="1">
      <c r="A11" s="18"/>
      <c r="B11" s="18"/>
      <c r="C11" s="18"/>
      <c r="D11" s="18"/>
      <c r="E11" s="3"/>
      <c r="F11" s="3"/>
      <c r="G11" s="3"/>
      <c r="H11" s="3"/>
      <c r="I11" s="3"/>
      <c r="J11" s="3"/>
      <c r="K11" s="3"/>
      <c r="L11" s="3"/>
      <c r="M11" s="4" t="str">
        <f t="shared" si="0"/>
      </c>
      <c r="N11" s="4" t="str">
        <f>IF(M11="","",IF(ISNUMBER(M11),IF(M11&lt;'Scoring Methodology'!$F$16,"Low",IF(M11&lt;'Scoring Methodology'!$F$17,"Moderate",IF(M11&lt;'Scoring Methodology'!$F$18,"High","Critical"))),"Invalid input"))</f>
      </c>
      <c r="O11" s="3"/>
      <c r="P11" s="3"/>
      <c r="Q11" s="3"/>
      <c r="R11" s="3"/>
      <c r="S11" s="3"/>
      <c r="T11" s="3"/>
      <c r="U11" s="3"/>
      <c r="V11" s="4" t="str">
        <f t="shared" si="1"/>
      </c>
      <c r="W11" s="4" t="str">
        <f>IF(V11="","",IF(ISNUMBER(V11),IF(V11&lt;'Scoring Methodology'!$F$16,"Low",IF(V11&lt;'Scoring Methodology'!$F$17,"Moderate",IF(V11&lt;'Scoring Methodology'!$F$18,"High","Critical"))),"Invalid input"))</f>
      </c>
      <c r="X11" s="3"/>
      <c r="Y11" s="4" t="n">
        <f>IF(E11="",0,IF(AND(OR(Dashboard!$L$7="All",Q11=Dashboard!$L$7),OR(Dashboard!$T$7="All",N11=Dashboard!$T$7)),1,0))</f>
        <v>0</v>
      </c>
    </row>
    <row r="12" spans="1:25" ht="26.1" customHeight="1">
      <c r="A12" s="18"/>
      <c r="B12" s="18"/>
      <c r="C12" s="18"/>
      <c r="D12" s="18"/>
      <c r="E12" s="3"/>
      <c r="F12" s="3"/>
      <c r="G12" s="3"/>
      <c r="H12" s="3"/>
      <c r="I12" s="3"/>
      <c r="J12" s="3"/>
      <c r="K12" s="3"/>
      <c r="L12" s="3"/>
      <c r="M12" s="4" t="str">
        <f t="shared" si="0"/>
      </c>
      <c r="N12" s="4" t="str">
        <f>IF(M12="","",IF(ISNUMBER(M12),IF(M12&lt;'Scoring Methodology'!$F$16,"Low",IF(M12&lt;'Scoring Methodology'!$F$17,"Moderate",IF(M12&lt;'Scoring Methodology'!$F$18,"High","Critical"))),"Invalid input"))</f>
      </c>
      <c r="O12" s="3"/>
      <c r="P12" s="3"/>
      <c r="Q12" s="3"/>
      <c r="R12" s="3"/>
      <c r="S12" s="3"/>
      <c r="T12" s="3"/>
      <c r="U12" s="3"/>
      <c r="V12" s="4" t="str">
        <f t="shared" si="1"/>
      </c>
      <c r="W12" s="4" t="str">
        <f>IF(V12="","",IF(ISNUMBER(V12),IF(V12&lt;'Scoring Methodology'!$F$16,"Low",IF(V12&lt;'Scoring Methodology'!$F$17,"Moderate",IF(V12&lt;'Scoring Methodology'!$F$18,"High","Critical"))),"Invalid input"))</f>
      </c>
      <c r="X12" s="3"/>
      <c r="Y12" s="4" t="n">
        <f>IF(E12="",0,IF(AND(OR(Dashboard!$L$7="All",Q12=Dashboard!$L$7),OR(Dashboard!$T$7="All",N12=Dashboard!$T$7)),1,0))</f>
        <v>0</v>
      </c>
    </row>
    <row r="13" spans="1:25" ht="26.1" customHeight="1">
      <c r="A13" s="18"/>
      <c r="B13" s="18"/>
      <c r="C13" s="18"/>
      <c r="D13" s="18"/>
      <c r="E13" s="3"/>
      <c r="F13" s="3"/>
      <c r="G13" s="3"/>
      <c r="H13" s="3"/>
      <c r="I13" s="3"/>
      <c r="J13" s="3"/>
      <c r="K13" s="3"/>
      <c r="L13" s="3"/>
      <c r="M13" s="4" t="str">
        <f t="shared" si="0"/>
      </c>
      <c r="N13" s="4" t="str">
        <f>IF(M13="","",IF(ISNUMBER(M13),IF(M13&lt;'Scoring Methodology'!$F$16,"Low",IF(M13&lt;'Scoring Methodology'!$F$17,"Moderate",IF(M13&lt;'Scoring Methodology'!$F$18,"High","Critical"))),"Invalid input"))</f>
      </c>
      <c r="O13" s="3"/>
      <c r="P13" s="3"/>
      <c r="Q13" s="3"/>
      <c r="R13" s="3"/>
      <c r="S13" s="3"/>
      <c r="T13" s="3"/>
      <c r="U13" s="3"/>
      <c r="V13" s="4" t="str">
        <f t="shared" si="1"/>
      </c>
      <c r="W13" s="4" t="str">
        <f>IF(V13="","",IF(ISNUMBER(V13),IF(V13&lt;'Scoring Methodology'!$F$16,"Low",IF(V13&lt;'Scoring Methodology'!$F$17,"Moderate",IF(V13&lt;'Scoring Methodology'!$F$18,"High","Critical"))),"Invalid input"))</f>
      </c>
      <c r="X13" s="3"/>
      <c r="Y13" s="4" t="n">
        <f>IF(E13="",0,IF(AND(OR(Dashboard!$L$7="All",Q13=Dashboard!$L$7),OR(Dashboard!$T$7="All",N13=Dashboard!$T$7)),1,0))</f>
        <v>0</v>
      </c>
    </row>
    <row r="14" spans="1:25" ht="26.1" customHeight="1">
      <c r="A14" s="18"/>
      <c r="B14" s="18"/>
      <c r="C14" s="18"/>
      <c r="D14" s="18"/>
      <c r="E14" s="3"/>
      <c r="F14" s="3"/>
      <c r="G14" s="3"/>
      <c r="H14" s="3"/>
      <c r="I14" s="3"/>
      <c r="J14" s="3"/>
      <c r="K14" s="3"/>
      <c r="L14" s="3"/>
      <c r="M14" s="4" t="str">
        <f t="shared" si="0"/>
      </c>
      <c r="N14" s="4" t="str">
        <f>IF(M14="","",IF(ISNUMBER(M14),IF(M14&lt;'Scoring Methodology'!$F$16,"Low",IF(M14&lt;'Scoring Methodology'!$F$17,"Moderate",IF(M14&lt;'Scoring Methodology'!$F$18,"High","Critical"))),"Invalid input"))</f>
      </c>
      <c r="O14" s="3"/>
      <c r="P14" s="3"/>
      <c r="Q14" s="3"/>
      <c r="R14" s="3"/>
      <c r="S14" s="3"/>
      <c r="T14" s="3"/>
      <c r="U14" s="3"/>
      <c r="V14" s="4" t="str">
        <f t="shared" si="1"/>
      </c>
      <c r="W14" s="4" t="str">
        <f>IF(V14="","",IF(ISNUMBER(V14),IF(V14&lt;'Scoring Methodology'!$F$16,"Low",IF(V14&lt;'Scoring Methodology'!$F$17,"Moderate",IF(V14&lt;'Scoring Methodology'!$F$18,"High","Critical"))),"Invalid input"))</f>
      </c>
      <c r="X14" s="3"/>
      <c r="Y14" s="4" t="n">
        <f>IF(E14="",0,IF(AND(OR(Dashboard!$L$7="All",Q14=Dashboard!$L$7),OR(Dashboard!$T$7="All",N14=Dashboard!$T$7)),1,0))</f>
        <v>0</v>
      </c>
    </row>
    <row r="15" spans="1:25" ht="26.1" customHeight="1">
      <c r="A15" s="18"/>
      <c r="B15" s="18"/>
      <c r="C15" s="18"/>
      <c r="D15" s="18"/>
      <c r="E15" s="3"/>
      <c r="F15" s="3"/>
      <c r="G15" s="3"/>
      <c r="H15" s="3"/>
      <c r="I15" s="3"/>
      <c r="J15" s="3"/>
      <c r="K15" s="3"/>
      <c r="L15" s="3"/>
      <c r="M15" s="4" t="str">
        <f t="shared" si="0"/>
      </c>
      <c r="N15" s="4" t="str">
        <f>IF(M15="","",IF(ISNUMBER(M15),IF(M15&lt;'Scoring Methodology'!$F$16,"Low",IF(M15&lt;'Scoring Methodology'!$F$17,"Moderate",IF(M15&lt;'Scoring Methodology'!$F$18,"High","Critical"))),"Invalid input"))</f>
      </c>
      <c r="O15" s="3"/>
      <c r="P15" s="3"/>
      <c r="Q15" s="3"/>
      <c r="R15" s="3"/>
      <c r="S15" s="3"/>
      <c r="T15" s="3"/>
      <c r="U15" s="3"/>
      <c r="V15" s="4" t="str">
        <f t="shared" si="1"/>
      </c>
      <c r="W15" s="4" t="str">
        <f>IF(V15="","",IF(ISNUMBER(V15),IF(V15&lt;'Scoring Methodology'!$F$16,"Low",IF(V15&lt;'Scoring Methodology'!$F$17,"Moderate",IF(V15&lt;'Scoring Methodology'!$F$18,"High","Critical"))),"Invalid input"))</f>
      </c>
      <c r="X15" s="3"/>
      <c r="Y15" s="4" t="n">
        <f>IF(E15="",0,IF(AND(OR(Dashboard!$L$7="All",Q15=Dashboard!$L$7),OR(Dashboard!$T$7="All",N15=Dashboard!$T$7)),1,0))</f>
        <v>0</v>
      </c>
    </row>
    <row r="16" spans="1:25" ht="26.1" customHeight="1">
      <c r="A16" s="18"/>
      <c r="B16" s="18"/>
      <c r="C16" s="18"/>
      <c r="D16" s="18"/>
      <c r="E16" s="3"/>
      <c r="F16" s="3"/>
      <c r="G16" s="3"/>
      <c r="H16" s="3"/>
      <c r="I16" s="3"/>
      <c r="J16" s="3"/>
      <c r="K16" s="3"/>
      <c r="L16" s="3"/>
      <c r="M16" s="4" t="str">
        <f t="shared" si="0"/>
      </c>
      <c r="N16" s="4" t="str">
        <f>IF(M16="","",IF(ISNUMBER(M16),IF(M16&lt;'Scoring Methodology'!$F$16,"Low",IF(M16&lt;'Scoring Methodology'!$F$17,"Moderate",IF(M16&lt;'Scoring Methodology'!$F$18,"High","Critical"))),"Invalid input"))</f>
      </c>
      <c r="O16" s="3"/>
      <c r="P16" s="3"/>
      <c r="Q16" s="3"/>
      <c r="R16" s="3"/>
      <c r="S16" s="3"/>
      <c r="T16" s="3"/>
      <c r="U16" s="3"/>
      <c r="V16" s="4" t="str">
        <f t="shared" si="1"/>
      </c>
      <c r="W16" s="4" t="str">
        <f>IF(V16="","",IF(ISNUMBER(V16),IF(V16&lt;'Scoring Methodology'!$F$16,"Low",IF(V16&lt;'Scoring Methodology'!$F$17,"Moderate",IF(V16&lt;'Scoring Methodology'!$F$18,"High","Critical"))),"Invalid input"))</f>
      </c>
      <c r="X16" s="3"/>
      <c r="Y16" s="4" t="n">
        <f>IF(E16="",0,IF(AND(OR(Dashboard!$L$7="All",Q16=Dashboard!$L$7),OR(Dashboard!$T$7="All",N16=Dashboard!$T$7)),1,0))</f>
        <v>0</v>
      </c>
    </row>
    <row r="17" spans="1:25" ht="26.1" customHeight="1">
      <c r="A17" s="18"/>
      <c r="B17" s="18"/>
      <c r="C17" s="18"/>
      <c r="D17" s="18"/>
      <c r="E17" s="3"/>
      <c r="F17" s="3"/>
      <c r="G17" s="3"/>
      <c r="H17" s="3"/>
      <c r="I17" s="3"/>
      <c r="J17" s="3"/>
      <c r="K17" s="3"/>
      <c r="L17" s="3"/>
      <c r="M17" s="4" t="str">
        <f t="shared" si="0"/>
      </c>
      <c r="N17" s="4" t="str">
        <f>IF(M17="","",IF(ISNUMBER(M17),IF(M17&lt;'Scoring Methodology'!$F$16,"Low",IF(M17&lt;'Scoring Methodology'!$F$17,"Moderate",IF(M17&lt;'Scoring Methodology'!$F$18,"High","Critical"))),"Invalid input"))</f>
      </c>
      <c r="O17" s="3"/>
      <c r="P17" s="3"/>
      <c r="Q17" s="3"/>
      <c r="R17" s="3"/>
      <c r="S17" s="3"/>
      <c r="T17" s="3"/>
      <c r="U17" s="3"/>
      <c r="V17" s="4" t="str">
        <f t="shared" si="1"/>
      </c>
      <c r="W17" s="4" t="str">
        <f>IF(V17="","",IF(ISNUMBER(V17),IF(V17&lt;'Scoring Methodology'!$F$16,"Low",IF(V17&lt;'Scoring Methodology'!$F$17,"Moderate",IF(V17&lt;'Scoring Methodology'!$F$18,"High","Critical"))),"Invalid input"))</f>
      </c>
      <c r="X17" s="3"/>
      <c r="Y17" s="4" t="n">
        <f>IF(E17="",0,IF(AND(OR(Dashboard!$L$7="All",Q17=Dashboard!$L$7),OR(Dashboard!$T$7="All",N17=Dashboard!$T$7)),1,0))</f>
        <v>0</v>
      </c>
    </row>
    <row r="18" spans="1:25" ht="26.1" customHeight="1">
      <c r="A18" s="18"/>
      <c r="B18" s="18"/>
      <c r="C18" s="18"/>
      <c r="D18" s="18"/>
      <c r="E18" s="3"/>
      <c r="F18" s="3"/>
      <c r="G18" s="3"/>
      <c r="H18" s="3"/>
      <c r="I18" s="3"/>
      <c r="J18" s="3"/>
      <c r="K18" s="3"/>
      <c r="L18" s="3"/>
      <c r="M18" s="4" t="str">
        <f t="shared" si="0"/>
      </c>
      <c r="N18" s="4" t="str">
        <f>IF(M18="","",IF(ISNUMBER(M18),IF(M18&lt;'Scoring Methodology'!$F$16,"Low",IF(M18&lt;'Scoring Methodology'!$F$17,"Moderate",IF(M18&lt;'Scoring Methodology'!$F$18,"High","Critical"))),"Invalid input"))</f>
      </c>
      <c r="O18" s="3"/>
      <c r="P18" s="3"/>
      <c r="Q18" s="3"/>
      <c r="R18" s="3"/>
      <c r="S18" s="3"/>
      <c r="T18" s="3"/>
      <c r="U18" s="3"/>
      <c r="V18" s="4" t="str">
        <f t="shared" si="1"/>
      </c>
      <c r="W18" s="4" t="str">
        <f>IF(V18="","",IF(ISNUMBER(V18),IF(V18&lt;'Scoring Methodology'!$F$16,"Low",IF(V18&lt;'Scoring Methodology'!$F$17,"Moderate",IF(V18&lt;'Scoring Methodology'!$F$18,"High","Critical"))),"Invalid input"))</f>
      </c>
      <c r="X18" s="3"/>
      <c r="Y18" s="4" t="n">
        <f>IF(E18="",0,IF(AND(OR(Dashboard!$L$7="All",Q18=Dashboard!$L$7),OR(Dashboard!$T$7="All",N18=Dashboard!$T$7)),1,0))</f>
        <v>0</v>
      </c>
    </row>
    <row r="19" spans="1:25" ht="26.1" customHeight="1">
      <c r="A19" s="18"/>
      <c r="B19" s="18"/>
      <c r="C19" s="18"/>
      <c r="D19" s="18"/>
      <c r="E19" s="3"/>
      <c r="F19" s="3"/>
      <c r="G19" s="3"/>
      <c r="H19" s="3"/>
      <c r="I19" s="3"/>
      <c r="J19" s="3"/>
      <c r="K19" s="3"/>
      <c r="L19" s="3"/>
      <c r="M19" s="4" t="str">
        <f t="shared" si="0"/>
      </c>
      <c r="N19" s="4" t="str">
        <f>IF(M19="","",IF(ISNUMBER(M19),IF(M19&lt;'Scoring Methodology'!$F$16,"Low",IF(M19&lt;'Scoring Methodology'!$F$17,"Moderate",IF(M19&lt;'Scoring Methodology'!$F$18,"High","Critical"))),"Invalid input"))</f>
      </c>
      <c r="O19" s="3"/>
      <c r="P19" s="3"/>
      <c r="Q19" s="3"/>
      <c r="R19" s="3"/>
      <c r="S19" s="3"/>
      <c r="T19" s="3"/>
      <c r="U19" s="3"/>
      <c r="V19" s="4" t="str">
        <f t="shared" si="1"/>
      </c>
      <c r="W19" s="4" t="str">
        <f>IF(V19="","",IF(ISNUMBER(V19),IF(V19&lt;'Scoring Methodology'!$F$16,"Low",IF(V19&lt;'Scoring Methodology'!$F$17,"Moderate",IF(V19&lt;'Scoring Methodology'!$F$18,"High","Critical"))),"Invalid input"))</f>
      </c>
      <c r="X19" s="3"/>
      <c r="Y19" s="4" t="n">
        <f>IF(E19="",0,IF(AND(OR(Dashboard!$L$7="All",Q19=Dashboard!$L$7),OR(Dashboard!$T$7="All",N19=Dashboard!$T$7)),1,0))</f>
        <v>0</v>
      </c>
    </row>
    <row r="20" spans="1:25" ht="26.1" customHeight="1">
      <c r="A20" s="18"/>
      <c r="B20" s="18"/>
      <c r="C20" s="18"/>
      <c r="D20" s="18"/>
      <c r="E20" s="3"/>
      <c r="F20" s="3"/>
      <c r="G20" s="3"/>
      <c r="H20" s="3"/>
      <c r="I20" s="3"/>
      <c r="J20" s="3"/>
      <c r="K20" s="3"/>
      <c r="L20" s="3"/>
      <c r="M20" s="4" t="str">
        <f t="shared" si="0"/>
      </c>
      <c r="N20" s="4" t="str">
        <f>IF(M20="","",IF(ISNUMBER(M20),IF(M20&lt;'Scoring Methodology'!$F$16,"Low",IF(M20&lt;'Scoring Methodology'!$F$17,"Moderate",IF(M20&lt;'Scoring Methodology'!$F$18,"High","Critical"))),"Invalid input"))</f>
      </c>
      <c r="O20" s="3"/>
      <c r="P20" s="3"/>
      <c r="Q20" s="3"/>
      <c r="R20" s="3"/>
      <c r="S20" s="3"/>
      <c r="T20" s="3"/>
      <c r="U20" s="3"/>
      <c r="V20" s="4" t="str">
        <f t="shared" si="1"/>
      </c>
      <c r="W20" s="4" t="str">
        <f>IF(V20="","",IF(ISNUMBER(V20),IF(V20&lt;'Scoring Methodology'!$F$16,"Low",IF(V20&lt;'Scoring Methodology'!$F$17,"Moderate",IF(V20&lt;'Scoring Methodology'!$F$18,"High","Critical"))),"Invalid input"))</f>
      </c>
      <c r="X20" s="3"/>
      <c r="Y20" s="4" t="n">
        <f>IF(E20="",0,IF(AND(OR(Dashboard!$L$7="All",Q20=Dashboard!$L$7),OR(Dashboard!$T$7="All",N20=Dashboard!$T$7)),1,0))</f>
        <v>0</v>
      </c>
    </row>
    <row r="21" spans="1:25" ht="26.1" customHeight="1">
      <c r="A21" s="18"/>
      <c r="B21" s="18"/>
      <c r="C21" s="18"/>
      <c r="D21" s="18"/>
      <c r="E21" s="3"/>
      <c r="F21" s="3"/>
      <c r="G21" s="3"/>
      <c r="H21" s="3"/>
      <c r="I21" s="3"/>
      <c r="J21" s="3"/>
      <c r="K21" s="3"/>
      <c r="L21" s="3"/>
      <c r="M21" s="4" t="str">
        <f t="shared" si="0"/>
      </c>
      <c r="N21" s="4" t="str">
        <f>IF(M21="","",IF(ISNUMBER(M21),IF(M21&lt;'Scoring Methodology'!$F$16,"Low",IF(M21&lt;'Scoring Methodology'!$F$17,"Moderate",IF(M21&lt;'Scoring Methodology'!$F$18,"High","Critical"))),"Invalid input"))</f>
      </c>
      <c r="O21" s="3"/>
      <c r="P21" s="3"/>
      <c r="Q21" s="3"/>
      <c r="R21" s="3"/>
      <c r="S21" s="3"/>
      <c r="T21" s="3"/>
      <c r="U21" s="3"/>
      <c r="V21" s="4" t="str">
        <f t="shared" si="1"/>
      </c>
      <c r="W21" s="4" t="str">
        <f>IF(V21="","",IF(ISNUMBER(V21),IF(V21&lt;'Scoring Methodology'!$F$16,"Low",IF(V21&lt;'Scoring Methodology'!$F$17,"Moderate",IF(V21&lt;'Scoring Methodology'!$F$18,"High","Critical"))),"Invalid input"))</f>
      </c>
      <c r="X21" s="3"/>
      <c r="Y21" s="4" t="n">
        <f>IF(E21="",0,IF(AND(OR(Dashboard!$L$7="All",Q21=Dashboard!$L$7),OR(Dashboard!$T$7="All",N21=Dashboard!$T$7)),1,0))</f>
        <v>0</v>
      </c>
    </row>
    <row r="22" spans="1:25" ht="26.1" customHeight="1">
      <c r="A22" s="18"/>
      <c r="B22" s="18"/>
      <c r="C22" s="18"/>
      <c r="D22" s="18"/>
      <c r="E22" s="3"/>
      <c r="F22" s="3"/>
      <c r="G22" s="3"/>
      <c r="H22" s="3"/>
      <c r="I22" s="3"/>
      <c r="J22" s="3"/>
      <c r="K22" s="3"/>
      <c r="L22" s="3"/>
      <c r="M22" s="4" t="str">
        <f t="shared" si="0"/>
      </c>
      <c r="N22" s="4" t="str">
        <f>IF(M22="","",IF(ISNUMBER(M22),IF(M22&lt;'Scoring Methodology'!$F$16,"Low",IF(M22&lt;'Scoring Methodology'!$F$17,"Moderate",IF(M22&lt;'Scoring Methodology'!$F$18,"High","Critical"))),"Invalid input"))</f>
      </c>
      <c r="O22" s="3"/>
      <c r="P22" s="3"/>
      <c r="Q22" s="3"/>
      <c r="R22" s="3"/>
      <c r="S22" s="3"/>
      <c r="T22" s="3"/>
      <c r="U22" s="3"/>
      <c r="V22" s="4" t="str">
        <f t="shared" si="1"/>
      </c>
      <c r="W22" s="4" t="str">
        <f>IF(V22="","",IF(ISNUMBER(V22),IF(V22&lt;'Scoring Methodology'!$F$16,"Low",IF(V22&lt;'Scoring Methodology'!$F$17,"Moderate",IF(V22&lt;'Scoring Methodology'!$F$18,"High","Critical"))),"Invalid input"))</f>
      </c>
      <c r="X22" s="3"/>
      <c r="Y22" s="4" t="n">
        <f>IF(E22="",0,IF(AND(OR(Dashboard!$L$7="All",Q22=Dashboard!$L$7),OR(Dashboard!$T$7="All",N22=Dashboard!$T$7)),1,0))</f>
        <v>0</v>
      </c>
    </row>
    <row r="23" spans="1:25" ht="26.1" customHeight="1">
      <c r="A23" s="18"/>
      <c r="B23" s="18"/>
      <c r="C23" s="18"/>
      <c r="D23" s="18"/>
      <c r="E23" s="3"/>
      <c r="F23" s="3"/>
      <c r="G23" s="3"/>
      <c r="H23" s="3"/>
      <c r="I23" s="3"/>
      <c r="J23" s="3"/>
      <c r="K23" s="3"/>
      <c r="L23" s="3"/>
      <c r="M23" s="4" t="str">
        <f t="shared" si="0"/>
      </c>
      <c r="N23" s="4" t="str">
        <f>IF(M23="","",IF(ISNUMBER(M23),IF(M23&lt;'Scoring Methodology'!$F$16,"Low",IF(M23&lt;'Scoring Methodology'!$F$17,"Moderate",IF(M23&lt;'Scoring Methodology'!$F$18,"High","Critical"))),"Invalid input"))</f>
      </c>
      <c r="O23" s="3"/>
      <c r="P23" s="3"/>
      <c r="Q23" s="3"/>
      <c r="R23" s="3"/>
      <c r="S23" s="3"/>
      <c r="T23" s="3"/>
      <c r="U23" s="3"/>
      <c r="V23" s="4" t="str">
        <f t="shared" si="1"/>
      </c>
      <c r="W23" s="4" t="str">
        <f>IF(V23="","",IF(ISNUMBER(V23),IF(V23&lt;'Scoring Methodology'!$F$16,"Low",IF(V23&lt;'Scoring Methodology'!$F$17,"Moderate",IF(V23&lt;'Scoring Methodology'!$F$18,"High","Critical"))),"Invalid input"))</f>
      </c>
      <c r="X23" s="3"/>
      <c r="Y23" s="4" t="n">
        <f>IF(E23="",0,IF(AND(OR(Dashboard!$L$7="All",Q23=Dashboard!$L$7),OR(Dashboard!$T$7="All",N23=Dashboard!$T$7)),1,0))</f>
        <v>0</v>
      </c>
    </row>
    <row r="24" spans="1:25" ht="26.1" customHeight="1">
      <c r="A24" s="18"/>
      <c r="B24" s="18"/>
      <c r="C24" s="18"/>
      <c r="D24" s="18"/>
      <c r="E24" s="3"/>
      <c r="F24" s="3"/>
      <c r="G24" s="3"/>
      <c r="H24" s="3"/>
      <c r="I24" s="3"/>
      <c r="J24" s="3"/>
      <c r="K24" s="3"/>
      <c r="L24" s="3"/>
      <c r="M24" s="4" t="str">
        <f t="shared" si="0"/>
      </c>
      <c r="N24" s="4" t="str">
        <f>IF(M24="","",IF(ISNUMBER(M24),IF(M24&lt;'Scoring Methodology'!$F$16,"Low",IF(M24&lt;'Scoring Methodology'!$F$17,"Moderate",IF(M24&lt;'Scoring Methodology'!$F$18,"High","Critical"))),"Invalid input"))</f>
      </c>
      <c r="O24" s="3"/>
      <c r="P24" s="3"/>
      <c r="Q24" s="3"/>
      <c r="R24" s="3"/>
      <c r="S24" s="3"/>
      <c r="T24" s="3"/>
      <c r="U24" s="3"/>
      <c r="V24" s="4" t="str">
        <f t="shared" si="1"/>
      </c>
      <c r="W24" s="4" t="str">
        <f>IF(V24="","",IF(ISNUMBER(V24),IF(V24&lt;'Scoring Methodology'!$F$16,"Low",IF(V24&lt;'Scoring Methodology'!$F$17,"Moderate",IF(V24&lt;'Scoring Methodology'!$F$18,"High","Critical"))),"Invalid input"))</f>
      </c>
      <c r="X24" s="3"/>
      <c r="Y24" s="4" t="n">
        <f>IF(E24="",0,IF(AND(OR(Dashboard!$L$7="All",Q24=Dashboard!$L$7),OR(Dashboard!$T$7="All",N24=Dashboard!$T$7)),1,0))</f>
        <v>0</v>
      </c>
    </row>
    <row r="25" spans="1:25" ht="26.1" customHeight="1">
      <c r="A25" s="18"/>
      <c r="B25" s="18"/>
      <c r="C25" s="18"/>
      <c r="D25" s="18"/>
      <c r="E25" s="3"/>
      <c r="F25" s="3"/>
      <c r="G25" s="3"/>
      <c r="H25" s="3"/>
      <c r="I25" s="3"/>
      <c r="J25" s="3"/>
      <c r="K25" s="3"/>
      <c r="L25" s="3"/>
      <c r="M25" s="4" t="str">
        <f t="shared" si="0"/>
      </c>
      <c r="N25" s="4" t="str">
        <f>IF(M25="","",IF(ISNUMBER(M25),IF(M25&lt;'Scoring Methodology'!$F$16,"Low",IF(M25&lt;'Scoring Methodology'!$F$17,"Moderate",IF(M25&lt;'Scoring Methodology'!$F$18,"High","Critical"))),"Invalid input"))</f>
      </c>
      <c r="O25" s="3"/>
      <c r="P25" s="3"/>
      <c r="Q25" s="3"/>
      <c r="R25" s="3"/>
      <c r="S25" s="3"/>
      <c r="T25" s="3"/>
      <c r="U25" s="3"/>
      <c r="V25" s="4" t="str">
        <f t="shared" si="1"/>
      </c>
      <c r="W25" s="4" t="str">
        <f>IF(V25="","",IF(ISNUMBER(V25),IF(V25&lt;'Scoring Methodology'!$F$16,"Low",IF(V25&lt;'Scoring Methodology'!$F$17,"Moderate",IF(V25&lt;'Scoring Methodology'!$F$18,"High","Critical"))),"Invalid input"))</f>
      </c>
      <c r="X25" s="3"/>
      <c r="Y25" s="4" t="n">
        <f>IF(E25="",0,IF(AND(OR(Dashboard!$L$7="All",Q25=Dashboard!$L$7),OR(Dashboard!$T$7="All",N25=Dashboard!$T$7)),1,0))</f>
        <v>0</v>
      </c>
    </row>
    <row r="26" spans="1:25" ht="26.1" customHeight="1">
      <c r="A26" s="18"/>
      <c r="B26" s="18"/>
      <c r="C26" s="18"/>
      <c r="D26" s="18"/>
      <c r="E26" s="3"/>
      <c r="F26" s="3"/>
      <c r="G26" s="3"/>
      <c r="H26" s="3"/>
      <c r="I26" s="3"/>
      <c r="J26" s="3"/>
      <c r="K26" s="3"/>
      <c r="L26" s="3"/>
      <c r="M26" s="4" t="str">
        <f t="shared" si="0"/>
      </c>
      <c r="N26" s="4" t="str">
        <f>IF(M26="","",IF(ISNUMBER(M26),IF(M26&lt;'Scoring Methodology'!$F$16,"Low",IF(M26&lt;'Scoring Methodology'!$F$17,"Moderate",IF(M26&lt;'Scoring Methodology'!$F$18,"High","Critical"))),"Invalid input"))</f>
      </c>
      <c r="O26" s="3"/>
      <c r="P26" s="3"/>
      <c r="Q26" s="3"/>
      <c r="R26" s="3"/>
      <c r="S26" s="3"/>
      <c r="T26" s="3"/>
      <c r="U26" s="3"/>
      <c r="V26" s="4" t="str">
        <f t="shared" si="1"/>
      </c>
      <c r="W26" s="4" t="str">
        <f>IF(V26="","",IF(ISNUMBER(V26),IF(V26&lt;'Scoring Methodology'!$F$16,"Low",IF(V26&lt;'Scoring Methodology'!$F$17,"Moderate",IF(V26&lt;'Scoring Methodology'!$F$18,"High","Critical"))),"Invalid input"))</f>
      </c>
      <c r="X26" s="3"/>
      <c r="Y26" s="4" t="n">
        <f>IF(E26="",0,IF(AND(OR(Dashboard!$L$7="All",Q26=Dashboard!$L$7),OR(Dashboard!$T$7="All",N26=Dashboard!$T$7)),1,0))</f>
        <v>0</v>
      </c>
    </row>
    <row r="27" spans="1:25" ht="26.1" customHeight="1">
      <c r="A27" s="18"/>
      <c r="B27" s="18"/>
      <c r="C27" s="18"/>
      <c r="D27" s="18"/>
      <c r="E27" s="3"/>
      <c r="F27" s="3"/>
      <c r="G27" s="3"/>
      <c r="H27" s="3"/>
      <c r="I27" s="3"/>
      <c r="J27" s="3"/>
      <c r="K27" s="3"/>
      <c r="L27" s="3"/>
      <c r="M27" s="4" t="str">
        <f t="shared" si="0"/>
      </c>
      <c r="N27" s="4" t="str">
        <f>IF(M27="","",IF(ISNUMBER(M27),IF(M27&lt;'Scoring Methodology'!$F$16,"Low",IF(M27&lt;'Scoring Methodology'!$F$17,"Moderate",IF(M27&lt;'Scoring Methodology'!$F$18,"High","Critical"))),"Invalid input"))</f>
      </c>
      <c r="O27" s="3"/>
      <c r="P27" s="3"/>
      <c r="Q27" s="3"/>
      <c r="R27" s="3"/>
      <c r="S27" s="3"/>
      <c r="T27" s="3"/>
      <c r="U27" s="3"/>
      <c r="V27" s="4" t="str">
        <f t="shared" si="1"/>
      </c>
      <c r="W27" s="4" t="str">
        <f>IF(V27="","",IF(ISNUMBER(V27),IF(V27&lt;'Scoring Methodology'!$F$16,"Low",IF(V27&lt;'Scoring Methodology'!$F$17,"Moderate",IF(V27&lt;'Scoring Methodology'!$F$18,"High","Critical"))),"Invalid input"))</f>
      </c>
      <c r="X27" s="3"/>
      <c r="Y27" s="4" t="n">
        <f>IF(E27="",0,IF(AND(OR(Dashboard!$L$7="All",Q27=Dashboard!$L$7),OR(Dashboard!$T$7="All",N27=Dashboard!$T$7)),1,0))</f>
        <v>0</v>
      </c>
    </row>
    <row r="28" spans="1:25" ht="26.1" customHeight="1">
      <c r="A28" s="18"/>
      <c r="B28" s="18"/>
      <c r="C28" s="18"/>
      <c r="D28" s="18"/>
      <c r="E28" s="3"/>
      <c r="F28" s="3"/>
      <c r="G28" s="3"/>
      <c r="H28" s="3"/>
      <c r="I28" s="3"/>
      <c r="J28" s="3"/>
      <c r="K28" s="3"/>
      <c r="L28" s="3"/>
      <c r="M28" s="4" t="str">
        <f t="shared" si="0"/>
      </c>
      <c r="N28" s="4" t="str">
        <f>IF(M28="","",IF(ISNUMBER(M28),IF(M28&lt;'Scoring Methodology'!$F$16,"Low",IF(M28&lt;'Scoring Methodology'!$F$17,"Moderate",IF(M28&lt;'Scoring Methodology'!$F$18,"High","Critical"))),"Invalid input"))</f>
      </c>
      <c r="O28" s="3"/>
      <c r="P28" s="3"/>
      <c r="Q28" s="3"/>
      <c r="R28" s="3"/>
      <c r="S28" s="3"/>
      <c r="T28" s="3"/>
      <c r="U28" s="3"/>
      <c r="V28" s="4" t="str">
        <f t="shared" si="1"/>
      </c>
      <c r="W28" s="4" t="str">
        <f>IF(V28="","",IF(ISNUMBER(V28),IF(V28&lt;'Scoring Methodology'!$F$16,"Low",IF(V28&lt;'Scoring Methodology'!$F$17,"Moderate",IF(V28&lt;'Scoring Methodology'!$F$18,"High","Critical"))),"Invalid input"))</f>
      </c>
      <c r="X28" s="3"/>
      <c r="Y28" s="4" t="n">
        <f>IF(E28="",0,IF(AND(OR(Dashboard!$L$7="All",Q28=Dashboard!$L$7),OR(Dashboard!$T$7="All",N28=Dashboard!$T$7)),1,0))</f>
        <v>0</v>
      </c>
    </row>
    <row r="29" spans="1:25" ht="26.1" customHeight="1">
      <c r="A29" s="18"/>
      <c r="B29" s="18"/>
      <c r="C29" s="18"/>
      <c r="D29" s="18"/>
      <c r="E29" s="3"/>
      <c r="F29" s="3"/>
      <c r="G29" s="3"/>
      <c r="H29" s="3"/>
      <c r="I29" s="3"/>
      <c r="J29" s="3"/>
      <c r="K29" s="3"/>
      <c r="L29" s="3"/>
      <c r="M29" s="4" t="str">
        <f t="shared" si="0"/>
      </c>
      <c r="N29" s="4" t="str">
        <f>IF(M29="","",IF(ISNUMBER(M29),IF(M29&lt;'Scoring Methodology'!$F$16,"Low",IF(M29&lt;'Scoring Methodology'!$F$17,"Moderate",IF(M29&lt;'Scoring Methodology'!$F$18,"High","Critical"))),"Invalid input"))</f>
      </c>
      <c r="O29" s="3"/>
      <c r="P29" s="3"/>
      <c r="Q29" s="3"/>
      <c r="R29" s="3"/>
      <c r="S29" s="3"/>
      <c r="T29" s="3"/>
      <c r="U29" s="3"/>
      <c r="V29" s="4" t="str">
        <f t="shared" si="1"/>
      </c>
      <c r="W29" s="4" t="str">
        <f>IF(V29="","",IF(ISNUMBER(V29),IF(V29&lt;'Scoring Methodology'!$F$16,"Low",IF(V29&lt;'Scoring Methodology'!$F$17,"Moderate",IF(V29&lt;'Scoring Methodology'!$F$18,"High","Critical"))),"Invalid input"))</f>
      </c>
      <c r="X29" s="3"/>
      <c r="Y29" s="4" t="n">
        <f>IF(E29="",0,IF(AND(OR(Dashboard!$L$7="All",Q29=Dashboard!$L$7),OR(Dashboard!$T$7="All",N29=Dashboard!$T$7)),1,0))</f>
        <v>0</v>
      </c>
    </row>
    <row r="30" spans="1:25" ht="26.1" customHeight="1">
      <c r="A30" s="18"/>
      <c r="B30" s="18"/>
      <c r="C30" s="18"/>
      <c r="D30" s="18"/>
      <c r="E30" s="3"/>
      <c r="F30" s="3"/>
      <c r="G30" s="3"/>
      <c r="H30" s="3"/>
      <c r="I30" s="3"/>
      <c r="J30" s="3"/>
      <c r="K30" s="3"/>
      <c r="L30" s="3"/>
      <c r="M30" s="4" t="str">
        <f t="shared" si="0"/>
      </c>
      <c r="N30" s="4" t="str">
        <f>IF(M30="","",IF(ISNUMBER(M30),IF(M30&lt;'Scoring Methodology'!$F$16,"Low",IF(M30&lt;'Scoring Methodology'!$F$17,"Moderate",IF(M30&lt;'Scoring Methodology'!$F$18,"High","Critical"))),"Invalid input"))</f>
      </c>
      <c r="O30" s="3"/>
      <c r="P30" s="3"/>
      <c r="Q30" s="3"/>
      <c r="R30" s="3"/>
      <c r="S30" s="3"/>
      <c r="T30" s="3"/>
      <c r="U30" s="3"/>
      <c r="V30" s="4" t="str">
        <f t="shared" si="1"/>
      </c>
      <c r="W30" s="4" t="str">
        <f>IF(V30="","",IF(ISNUMBER(V30),IF(V30&lt;'Scoring Methodology'!$F$16,"Low",IF(V30&lt;'Scoring Methodology'!$F$17,"Moderate",IF(V30&lt;'Scoring Methodology'!$F$18,"High","Critical"))),"Invalid input"))</f>
      </c>
      <c r="X30" s="3"/>
      <c r="Y30" s="4" t="n">
        <f>IF(E30="",0,IF(AND(OR(Dashboard!$L$7="All",Q30=Dashboard!$L$7),OR(Dashboard!$T$7="All",N30=Dashboard!$T$7)),1,0))</f>
        <v>0</v>
      </c>
    </row>
    <row r="31" spans="1:25" ht="26.1" customHeight="1">
      <c r="A31" s="18"/>
      <c r="B31" s="18"/>
      <c r="C31" s="18"/>
      <c r="D31" s="18"/>
      <c r="E31" s="3"/>
      <c r="F31" s="3"/>
      <c r="G31" s="3"/>
      <c r="H31" s="3"/>
      <c r="I31" s="3"/>
      <c r="J31" s="3"/>
      <c r="K31" s="3"/>
      <c r="L31" s="3"/>
      <c r="M31" s="4" t="str">
        <f t="shared" si="0"/>
      </c>
      <c r="N31" s="4" t="str">
        <f>IF(M31="","",IF(ISNUMBER(M31),IF(M31&lt;'Scoring Methodology'!$F$16,"Low",IF(M31&lt;'Scoring Methodology'!$F$17,"Moderate",IF(M31&lt;'Scoring Methodology'!$F$18,"High","Critical"))),"Invalid input"))</f>
      </c>
      <c r="O31" s="3"/>
      <c r="P31" s="3"/>
      <c r="Q31" s="3"/>
      <c r="R31" s="3"/>
      <c r="S31" s="3"/>
      <c r="T31" s="3"/>
      <c r="U31" s="3"/>
      <c r="V31" s="4" t="str">
        <f t="shared" si="1"/>
      </c>
      <c r="W31" s="4" t="str">
        <f>IF(V31="","",IF(ISNUMBER(V31),IF(V31&lt;'Scoring Methodology'!$F$16,"Low",IF(V31&lt;'Scoring Methodology'!$F$17,"Moderate",IF(V31&lt;'Scoring Methodology'!$F$18,"High","Critical"))),"Invalid input"))</f>
      </c>
      <c r="X31" s="3"/>
      <c r="Y31" s="4" t="n">
        <f>IF(E31="",0,IF(AND(OR(Dashboard!$L$7="All",Q31=Dashboard!$L$7),OR(Dashboard!$T$7="All",N31=Dashboard!$T$7)),1,0))</f>
        <v>0</v>
      </c>
    </row>
    <row r="32" spans="1:25" ht="26.1" customHeight="1">
      <c r="A32" s="18"/>
      <c r="B32" s="18"/>
      <c r="C32" s="18"/>
      <c r="D32" s="18"/>
      <c r="E32" s="3"/>
      <c r="F32" s="3"/>
      <c r="G32" s="3"/>
      <c r="H32" s="3"/>
      <c r="I32" s="3"/>
      <c r="J32" s="3"/>
      <c r="K32" s="3"/>
      <c r="L32" s="3"/>
      <c r="M32" s="4" t="str">
        <f t="shared" si="0"/>
      </c>
      <c r="N32" s="4" t="str">
        <f>IF(M32="","",IF(ISNUMBER(M32),IF(M32&lt;'Scoring Methodology'!$F$16,"Low",IF(M32&lt;'Scoring Methodology'!$F$17,"Moderate",IF(M32&lt;'Scoring Methodology'!$F$18,"High","Critical"))),"Invalid input"))</f>
      </c>
      <c r="O32" s="3"/>
      <c r="P32" s="3"/>
      <c r="Q32" s="3"/>
      <c r="R32" s="3"/>
      <c r="S32" s="3"/>
      <c r="T32" s="3"/>
      <c r="U32" s="3"/>
      <c r="V32" s="4" t="str">
        <f t="shared" si="1"/>
      </c>
      <c r="W32" s="4" t="str">
        <f>IF(V32="","",IF(ISNUMBER(V32),IF(V32&lt;'Scoring Methodology'!$F$16,"Low",IF(V32&lt;'Scoring Methodology'!$F$17,"Moderate",IF(V32&lt;'Scoring Methodology'!$F$18,"High","Critical"))),"Invalid input"))</f>
      </c>
      <c r="X32" s="3"/>
      <c r="Y32" s="4" t="n">
        <f>IF(E32="",0,IF(AND(OR(Dashboard!$L$7="All",Q32=Dashboard!$L$7),OR(Dashboard!$T$7="All",N32=Dashboard!$T$7)),1,0))</f>
        <v>0</v>
      </c>
    </row>
    <row r="33" spans="1:25" ht="26.1" customHeight="1">
      <c r="A33" s="18"/>
      <c r="B33" s="18"/>
      <c r="C33" s="18"/>
      <c r="D33" s="18"/>
      <c r="E33" s="3"/>
      <c r="F33" s="3"/>
      <c r="G33" s="3"/>
      <c r="H33" s="3"/>
      <c r="I33" s="3"/>
      <c r="J33" s="3"/>
      <c r="K33" s="3"/>
      <c r="L33" s="3"/>
      <c r="M33" s="4" t="str">
        <f t="shared" si="0"/>
      </c>
      <c r="N33" s="4" t="str">
        <f>IF(M33="","",IF(ISNUMBER(M33),IF(M33&lt;'Scoring Methodology'!$F$16,"Low",IF(M33&lt;'Scoring Methodology'!$F$17,"Moderate",IF(M33&lt;'Scoring Methodology'!$F$18,"High","Critical"))),"Invalid input"))</f>
      </c>
      <c r="O33" s="3"/>
      <c r="P33" s="3"/>
      <c r="Q33" s="3"/>
      <c r="R33" s="3"/>
      <c r="S33" s="3"/>
      <c r="T33" s="3"/>
      <c r="U33" s="3"/>
      <c r="V33" s="4" t="str">
        <f t="shared" si="1"/>
      </c>
      <c r="W33" s="4" t="str">
        <f>IF(V33="","",IF(ISNUMBER(V33),IF(V33&lt;'Scoring Methodology'!$F$16,"Low",IF(V33&lt;'Scoring Methodology'!$F$17,"Moderate",IF(V33&lt;'Scoring Methodology'!$F$18,"High","Critical"))),"Invalid input"))</f>
      </c>
      <c r="X33" s="3"/>
      <c r="Y33" s="4" t="n">
        <f>IF(E33="",0,IF(AND(OR(Dashboard!$L$7="All",Q33=Dashboard!$L$7),OR(Dashboard!$T$7="All",N33=Dashboard!$T$7)),1,0))</f>
        <v>0</v>
      </c>
    </row>
    <row r="34" spans="1:25" ht="26.1" customHeight="1">
      <c r="A34" s="18"/>
      <c r="B34" s="18"/>
      <c r="C34" s="18"/>
      <c r="D34" s="18"/>
      <c r="E34" s="3"/>
      <c r="F34" s="3"/>
      <c r="G34" s="3"/>
      <c r="H34" s="3"/>
      <c r="I34" s="3"/>
      <c r="J34" s="3"/>
      <c r="K34" s="3"/>
      <c r="L34" s="3"/>
      <c r="M34" s="4" t="str">
        <f t="shared" si="0"/>
      </c>
      <c r="N34" s="4" t="str">
        <f>IF(M34="","",IF(ISNUMBER(M34),IF(M34&lt;'Scoring Methodology'!$F$16,"Low",IF(M34&lt;'Scoring Methodology'!$F$17,"Moderate",IF(M34&lt;'Scoring Methodology'!$F$18,"High","Critical"))),"Invalid input"))</f>
      </c>
      <c r="O34" s="3"/>
      <c r="P34" s="3"/>
      <c r="Q34" s="3"/>
      <c r="R34" s="3"/>
      <c r="S34" s="3"/>
      <c r="T34" s="3"/>
      <c r="U34" s="3"/>
      <c r="V34" s="4" t="str">
        <f t="shared" si="1"/>
      </c>
      <c r="W34" s="4" t="str">
        <f>IF(V34="","",IF(ISNUMBER(V34),IF(V34&lt;'Scoring Methodology'!$F$16,"Low",IF(V34&lt;'Scoring Methodology'!$F$17,"Moderate",IF(V34&lt;'Scoring Methodology'!$F$18,"High","Critical"))),"Invalid input"))</f>
      </c>
      <c r="X34" s="3"/>
      <c r="Y34" s="4" t="n">
        <f>IF(E34="",0,IF(AND(OR(Dashboard!$L$7="All",Q34=Dashboard!$L$7),OR(Dashboard!$T$7="All",N34=Dashboard!$T$7)),1,0))</f>
        <v>0</v>
      </c>
    </row>
    <row r="35" spans="1:25" ht="26.1" customHeight="1">
      <c r="A35" s="18"/>
      <c r="B35" s="18"/>
      <c r="C35" s="18"/>
      <c r="D35" s="18"/>
      <c r="E35" s="3"/>
      <c r="F35" s="3"/>
      <c r="G35" s="3"/>
      <c r="H35" s="3"/>
      <c r="I35" s="3"/>
      <c r="J35" s="3"/>
      <c r="K35" s="3"/>
      <c r="L35" s="3"/>
      <c r="M35" s="4" t="str">
        <f t="shared" si="0"/>
      </c>
      <c r="N35" s="4" t="str">
        <f>IF(M35="","",IF(ISNUMBER(M35),IF(M35&lt;'Scoring Methodology'!$F$16,"Low",IF(M35&lt;'Scoring Methodology'!$F$17,"Moderate",IF(M35&lt;'Scoring Methodology'!$F$18,"High","Critical"))),"Invalid input"))</f>
      </c>
      <c r="O35" s="3"/>
      <c r="P35" s="3"/>
      <c r="Q35" s="3"/>
      <c r="R35" s="3"/>
      <c r="S35" s="3"/>
      <c r="T35" s="3"/>
      <c r="U35" s="3"/>
      <c r="V35" s="4" t="str">
        <f t="shared" si="1"/>
      </c>
      <c r="W35" s="4" t="str">
        <f>IF(V35="","",IF(ISNUMBER(V35),IF(V35&lt;'Scoring Methodology'!$F$16,"Low",IF(V35&lt;'Scoring Methodology'!$F$17,"Moderate",IF(V35&lt;'Scoring Methodology'!$F$18,"High","Critical"))),"Invalid input"))</f>
      </c>
      <c r="X35" s="3"/>
      <c r="Y35" s="4" t="n">
        <f>IF(E35="",0,IF(AND(OR(Dashboard!$L$7="All",Q35=Dashboard!$L$7),OR(Dashboard!$T$7="All",N35=Dashboard!$T$7)),1,0))</f>
        <v>0</v>
      </c>
    </row>
    <row r="36" spans="1:25" ht="26.1" customHeight="1">
      <c r="A36" s="18"/>
      <c r="B36" s="18"/>
      <c r="C36" s="18"/>
      <c r="D36" s="18"/>
      <c r="E36" s="3"/>
      <c r="F36" s="3"/>
      <c r="G36" s="3"/>
      <c r="H36" s="3"/>
      <c r="I36" s="3"/>
      <c r="J36" s="3"/>
      <c r="K36" s="3"/>
      <c r="L36" s="3"/>
      <c r="M36" s="4" t="str">
        <f t="shared" si="0"/>
      </c>
      <c r="N36" s="4" t="str">
        <f>IF(M36="","",IF(ISNUMBER(M36),IF(M36&lt;'Scoring Methodology'!$F$16,"Low",IF(M36&lt;'Scoring Methodology'!$F$17,"Moderate",IF(M36&lt;'Scoring Methodology'!$F$18,"High","Critical"))),"Invalid input"))</f>
      </c>
      <c r="O36" s="3"/>
      <c r="P36" s="3"/>
      <c r="Q36" s="3"/>
      <c r="R36" s="3"/>
      <c r="S36" s="3"/>
      <c r="T36" s="3"/>
      <c r="U36" s="3"/>
      <c r="V36" s="4" t="str">
        <f t="shared" si="1"/>
      </c>
      <c r="W36" s="4" t="str">
        <f>IF(V36="","",IF(ISNUMBER(V36),IF(V36&lt;'Scoring Methodology'!$F$16,"Low",IF(V36&lt;'Scoring Methodology'!$F$17,"Moderate",IF(V36&lt;'Scoring Methodology'!$F$18,"High","Critical"))),"Invalid input"))</f>
      </c>
      <c r="X36" s="3"/>
      <c r="Y36" s="4" t="n">
        <f>IF(E36="",0,IF(AND(OR(Dashboard!$L$7="All",Q36=Dashboard!$L$7),OR(Dashboard!$T$7="All",N36=Dashboard!$T$7)),1,0))</f>
        <v>0</v>
      </c>
    </row>
    <row r="37" spans="1:25" ht="26.1" customHeight="1">
      <c r="A37" s="18"/>
      <c r="B37" s="18"/>
      <c r="C37" s="18"/>
      <c r="D37" s="18"/>
      <c r="E37" s="3"/>
      <c r="F37" s="3"/>
      <c r="G37" s="3"/>
      <c r="H37" s="3"/>
      <c r="I37" s="3"/>
      <c r="J37" s="3"/>
      <c r="K37" s="3"/>
      <c r="L37" s="3"/>
      <c r="M37" s="4" t="str">
        <f t="shared" si="0"/>
      </c>
      <c r="N37" s="4" t="str">
        <f>IF(M37="","",IF(ISNUMBER(M37),IF(M37&lt;'Scoring Methodology'!$F$16,"Low",IF(M37&lt;'Scoring Methodology'!$F$17,"Moderate",IF(M37&lt;'Scoring Methodology'!$F$18,"High","Critical"))),"Invalid input"))</f>
      </c>
      <c r="O37" s="3"/>
      <c r="P37" s="3"/>
      <c r="Q37" s="3"/>
      <c r="R37" s="3"/>
      <c r="S37" s="3"/>
      <c r="T37" s="3"/>
      <c r="U37" s="3"/>
      <c r="V37" s="4" t="str">
        <f t="shared" si="1"/>
      </c>
      <c r="W37" s="4" t="str">
        <f>IF(V37="","",IF(ISNUMBER(V37),IF(V37&lt;'Scoring Methodology'!$F$16,"Low",IF(V37&lt;'Scoring Methodology'!$F$17,"Moderate",IF(V37&lt;'Scoring Methodology'!$F$18,"High","Critical"))),"Invalid input"))</f>
      </c>
      <c r="X37" s="3"/>
      <c r="Y37" s="4" t="n">
        <f>IF(E37="",0,IF(AND(OR(Dashboard!$L$7="All",Q37=Dashboard!$L$7),OR(Dashboard!$T$7="All",N37=Dashboard!$T$7)),1,0))</f>
        <v>0</v>
      </c>
    </row>
    <row r="38" spans="1:25" ht="26.1" customHeight="1">
      <c r="A38" s="18"/>
      <c r="B38" s="18"/>
      <c r="C38" s="18"/>
      <c r="D38" s="18"/>
      <c r="E38" s="3"/>
      <c r="F38" s="3"/>
      <c r="G38" s="3"/>
      <c r="H38" s="3"/>
      <c r="I38" s="3"/>
      <c r="J38" s="3"/>
      <c r="K38" s="3"/>
      <c r="L38" s="3"/>
      <c r="M38" s="4" t="str">
        <f t="shared" si="0"/>
      </c>
      <c r="N38" s="4" t="str">
        <f>IF(M38="","",IF(ISNUMBER(M38),IF(M38&lt;'Scoring Methodology'!$F$16,"Low",IF(M38&lt;'Scoring Methodology'!$F$17,"Moderate",IF(M38&lt;'Scoring Methodology'!$F$18,"High","Critical"))),"Invalid input"))</f>
      </c>
      <c r="O38" s="3"/>
      <c r="P38" s="3"/>
      <c r="Q38" s="3"/>
      <c r="R38" s="3"/>
      <c r="S38" s="3"/>
      <c r="T38" s="3"/>
      <c r="U38" s="3"/>
      <c r="V38" s="4" t="str">
        <f t="shared" si="1"/>
      </c>
      <c r="W38" s="4" t="str">
        <f>IF(V38="","",IF(ISNUMBER(V38),IF(V38&lt;'Scoring Methodology'!$F$16,"Low",IF(V38&lt;'Scoring Methodology'!$F$17,"Moderate",IF(V38&lt;'Scoring Methodology'!$F$18,"High","Critical"))),"Invalid input"))</f>
      </c>
      <c r="X38" s="3"/>
      <c r="Y38" s="4" t="n">
        <f>IF(E38="",0,IF(AND(OR(Dashboard!$L$7="All",Q38=Dashboard!$L$7),OR(Dashboard!$T$7="All",N38=Dashboard!$T$7)),1,0))</f>
        <v>0</v>
      </c>
    </row>
    <row r="39" spans="1:25" ht="26.1" customHeight="1">
      <c r="A39" s="18"/>
      <c r="B39" s="18"/>
      <c r="C39" s="18"/>
      <c r="D39" s="18"/>
      <c r="E39" s="3"/>
      <c r="F39" s="3"/>
      <c r="G39" s="3"/>
      <c r="H39" s="3"/>
      <c r="I39" s="3"/>
      <c r="J39" s="3"/>
      <c r="K39" s="3"/>
      <c r="L39" s="3"/>
      <c r="M39" s="4" t="str">
        <f t="shared" ref="M39:M70" si="2">IF(E39="","",IF(OR(K39="",L39=""),"",IF(AND(ISNUMBER(K39),ISNUMBER(L39),K39&gt;=1,K39&lt;=5,L39&gt;=1,L39&lt;=5,MOD(K39,1)=0,MOD(L39,1)=0),K39*L39,"Invalid input")))</f>
      </c>
      <c r="N39" s="4" t="str">
        <f>IF(M39="","",IF(ISNUMBER(M39),IF(M39&lt;'Scoring Methodology'!$F$16,"Low",IF(M39&lt;'Scoring Methodology'!$F$17,"Moderate",IF(M39&lt;'Scoring Methodology'!$F$18,"High","Critical"))),"Invalid input"))</f>
      </c>
      <c r="O39" s="3"/>
      <c r="P39" s="3"/>
      <c r="Q39" s="3"/>
      <c r="R39" s="3"/>
      <c r="S39" s="3"/>
      <c r="T39" s="3"/>
      <c r="U39" s="3"/>
      <c r="V39" s="4" t="str">
        <f t="shared" ref="V39:V70" si="3">IF(E39="","",IF(OR(T39="",U39=""),"",IF(AND(ISNUMBER(T39),ISNUMBER(U39),T39&gt;=1,T39&lt;=5,U39&gt;=1,U39&lt;=5,MOD(T39,1)=0,MOD(U39,1)=0),T39*U39,"Invalid input")))</f>
      </c>
      <c r="W39" s="4" t="str">
        <f>IF(V39="","",IF(ISNUMBER(V39),IF(V39&lt;'Scoring Methodology'!$F$16,"Low",IF(V39&lt;'Scoring Methodology'!$F$17,"Moderate",IF(V39&lt;'Scoring Methodology'!$F$18,"High","Critical"))),"Invalid input"))</f>
      </c>
      <c r="X39" s="3"/>
      <c r="Y39" s="4" t="n">
        <f>IF(E39="",0,IF(AND(OR(Dashboard!$L$7="All",Q39=Dashboard!$L$7),OR(Dashboard!$T$7="All",N39=Dashboard!$T$7)),1,0))</f>
        <v>0</v>
      </c>
    </row>
    <row r="40" spans="1:25" ht="26.1" customHeight="1">
      <c r="A40" s="18"/>
      <c r="B40" s="18"/>
      <c r="C40" s="18"/>
      <c r="D40" s="18"/>
      <c r="E40" s="3"/>
      <c r="F40" s="3"/>
      <c r="G40" s="3"/>
      <c r="H40" s="3"/>
      <c r="I40" s="3"/>
      <c r="J40" s="3"/>
      <c r="K40" s="3"/>
      <c r="L40" s="3"/>
      <c r="M40" s="4" t="str">
        <f t="shared" si="2"/>
      </c>
      <c r="N40" s="4" t="str">
        <f>IF(M40="","",IF(ISNUMBER(M40),IF(M40&lt;'Scoring Methodology'!$F$16,"Low",IF(M40&lt;'Scoring Methodology'!$F$17,"Moderate",IF(M40&lt;'Scoring Methodology'!$F$18,"High","Critical"))),"Invalid input"))</f>
      </c>
      <c r="O40" s="3"/>
      <c r="P40" s="3"/>
      <c r="Q40" s="3"/>
      <c r="R40" s="3"/>
      <c r="S40" s="3"/>
      <c r="T40" s="3"/>
      <c r="U40" s="3"/>
      <c r="V40" s="4" t="str">
        <f t="shared" si="3"/>
      </c>
      <c r="W40" s="4" t="str">
        <f>IF(V40="","",IF(ISNUMBER(V40),IF(V40&lt;'Scoring Methodology'!$F$16,"Low",IF(V40&lt;'Scoring Methodology'!$F$17,"Moderate",IF(V40&lt;'Scoring Methodology'!$F$18,"High","Critical"))),"Invalid input"))</f>
      </c>
      <c r="X40" s="3"/>
      <c r="Y40" s="4" t="n">
        <f>IF(E40="",0,IF(AND(OR(Dashboard!$L$7="All",Q40=Dashboard!$L$7),OR(Dashboard!$T$7="All",N40=Dashboard!$T$7)),1,0))</f>
        <v>0</v>
      </c>
    </row>
    <row r="41" spans="1:25" ht="26.1" customHeight="1">
      <c r="A41" s="18"/>
      <c r="B41" s="18"/>
      <c r="C41" s="18"/>
      <c r="D41" s="18"/>
      <c r="E41" s="3"/>
      <c r="F41" s="3"/>
      <c r="G41" s="3"/>
      <c r="H41" s="3"/>
      <c r="I41" s="3"/>
      <c r="J41" s="3"/>
      <c r="K41" s="3"/>
      <c r="L41" s="3"/>
      <c r="M41" s="4" t="str">
        <f t="shared" si="2"/>
      </c>
      <c r="N41" s="4" t="str">
        <f>IF(M41="","",IF(ISNUMBER(M41),IF(M41&lt;'Scoring Methodology'!$F$16,"Low",IF(M41&lt;'Scoring Methodology'!$F$17,"Moderate",IF(M41&lt;'Scoring Methodology'!$F$18,"High","Critical"))),"Invalid input"))</f>
      </c>
      <c r="O41" s="3"/>
      <c r="P41" s="3"/>
      <c r="Q41" s="3"/>
      <c r="R41" s="3"/>
      <c r="S41" s="3"/>
      <c r="T41" s="3"/>
      <c r="U41" s="3"/>
      <c r="V41" s="4" t="str">
        <f t="shared" si="3"/>
      </c>
      <c r="W41" s="4" t="str">
        <f>IF(V41="","",IF(ISNUMBER(V41),IF(V41&lt;'Scoring Methodology'!$F$16,"Low",IF(V41&lt;'Scoring Methodology'!$F$17,"Moderate",IF(V41&lt;'Scoring Methodology'!$F$18,"High","Critical"))),"Invalid input"))</f>
      </c>
      <c r="X41" s="3"/>
      <c r="Y41" s="4" t="n">
        <f>IF(E41="",0,IF(AND(OR(Dashboard!$L$7="All",Q41=Dashboard!$L$7),OR(Dashboard!$T$7="All",N41=Dashboard!$T$7)),1,0))</f>
        <v>0</v>
      </c>
    </row>
    <row r="42" spans="1:25" ht="26.1" customHeight="1">
      <c r="A42" s="18"/>
      <c r="B42" s="18"/>
      <c r="C42" s="18"/>
      <c r="D42" s="18"/>
      <c r="E42" s="3"/>
      <c r="F42" s="3"/>
      <c r="G42" s="3"/>
      <c r="H42" s="3"/>
      <c r="I42" s="3"/>
      <c r="J42" s="3"/>
      <c r="K42" s="3"/>
      <c r="L42" s="3"/>
      <c r="M42" s="4" t="str">
        <f t="shared" si="2"/>
      </c>
      <c r="N42" s="4" t="str">
        <f>IF(M42="","",IF(ISNUMBER(M42),IF(M42&lt;'Scoring Methodology'!$F$16,"Low",IF(M42&lt;'Scoring Methodology'!$F$17,"Moderate",IF(M42&lt;'Scoring Methodology'!$F$18,"High","Critical"))),"Invalid input"))</f>
      </c>
      <c r="O42" s="3"/>
      <c r="P42" s="3"/>
      <c r="Q42" s="3"/>
      <c r="R42" s="3"/>
      <c r="S42" s="3"/>
      <c r="T42" s="3"/>
      <c r="U42" s="3"/>
      <c r="V42" s="4" t="str">
        <f t="shared" si="3"/>
      </c>
      <c r="W42" s="4" t="str">
        <f>IF(V42="","",IF(ISNUMBER(V42),IF(V42&lt;'Scoring Methodology'!$F$16,"Low",IF(V42&lt;'Scoring Methodology'!$F$17,"Moderate",IF(V42&lt;'Scoring Methodology'!$F$18,"High","Critical"))),"Invalid input"))</f>
      </c>
      <c r="X42" s="3"/>
      <c r="Y42" s="4" t="n">
        <f>IF(E42="",0,IF(AND(OR(Dashboard!$L$7="All",Q42=Dashboard!$L$7),OR(Dashboard!$T$7="All",N42=Dashboard!$T$7)),1,0))</f>
        <v>0</v>
      </c>
    </row>
    <row r="43" spans="1:25" ht="26.1" customHeight="1">
      <c r="A43" s="18"/>
      <c r="B43" s="18"/>
      <c r="C43" s="18"/>
      <c r="D43" s="18"/>
      <c r="E43" s="3"/>
      <c r="F43" s="3"/>
      <c r="G43" s="3"/>
      <c r="H43" s="3"/>
      <c r="I43" s="3"/>
      <c r="J43" s="3"/>
      <c r="K43" s="3"/>
      <c r="L43" s="3"/>
      <c r="M43" s="4" t="str">
        <f t="shared" si="2"/>
      </c>
      <c r="N43" s="4" t="str">
        <f>IF(M43="","",IF(ISNUMBER(M43),IF(M43&lt;'Scoring Methodology'!$F$16,"Low",IF(M43&lt;'Scoring Methodology'!$F$17,"Moderate",IF(M43&lt;'Scoring Methodology'!$F$18,"High","Critical"))),"Invalid input"))</f>
      </c>
      <c r="O43" s="3"/>
      <c r="P43" s="3"/>
      <c r="Q43" s="3"/>
      <c r="R43" s="3"/>
      <c r="S43" s="3"/>
      <c r="T43" s="3"/>
      <c r="U43" s="3"/>
      <c r="V43" s="4" t="str">
        <f t="shared" si="3"/>
      </c>
      <c r="W43" s="4" t="str">
        <f>IF(V43="","",IF(ISNUMBER(V43),IF(V43&lt;'Scoring Methodology'!$F$16,"Low",IF(V43&lt;'Scoring Methodology'!$F$17,"Moderate",IF(V43&lt;'Scoring Methodology'!$F$18,"High","Critical"))),"Invalid input"))</f>
      </c>
      <c r="X43" s="3"/>
      <c r="Y43" s="4" t="n">
        <f>IF(E43="",0,IF(AND(OR(Dashboard!$L$7="All",Q43=Dashboard!$L$7),OR(Dashboard!$T$7="All",N43=Dashboard!$T$7)),1,0))</f>
        <v>0</v>
      </c>
    </row>
    <row r="44" spans="1:25" ht="26.1" customHeight="1">
      <c r="A44" s="18"/>
      <c r="B44" s="18"/>
      <c r="C44" s="18"/>
      <c r="D44" s="18"/>
      <c r="E44" s="3"/>
      <c r="F44" s="3"/>
      <c r="G44" s="3"/>
      <c r="H44" s="3"/>
      <c r="I44" s="3"/>
      <c r="J44" s="3"/>
      <c r="K44" s="3"/>
      <c r="L44" s="3"/>
      <c r="M44" s="4" t="str">
        <f t="shared" si="2"/>
      </c>
      <c r="N44" s="4" t="str">
        <f>IF(M44="","",IF(ISNUMBER(M44),IF(M44&lt;'Scoring Methodology'!$F$16,"Low",IF(M44&lt;'Scoring Methodology'!$F$17,"Moderate",IF(M44&lt;'Scoring Methodology'!$F$18,"High","Critical"))),"Invalid input"))</f>
      </c>
      <c r="O44" s="3"/>
      <c r="P44" s="3"/>
      <c r="Q44" s="3"/>
      <c r="R44" s="3"/>
      <c r="S44" s="3"/>
      <c r="T44" s="3"/>
      <c r="U44" s="3"/>
      <c r="V44" s="4" t="str">
        <f t="shared" si="3"/>
      </c>
      <c r="W44" s="4" t="str">
        <f>IF(V44="","",IF(ISNUMBER(V44),IF(V44&lt;'Scoring Methodology'!$F$16,"Low",IF(V44&lt;'Scoring Methodology'!$F$17,"Moderate",IF(V44&lt;'Scoring Methodology'!$F$18,"High","Critical"))),"Invalid input"))</f>
      </c>
      <c r="X44" s="3"/>
      <c r="Y44" s="4" t="n">
        <f>IF(E44="",0,IF(AND(OR(Dashboard!$L$7="All",Q44=Dashboard!$L$7),OR(Dashboard!$T$7="All",N44=Dashboard!$T$7)),1,0))</f>
        <v>0</v>
      </c>
    </row>
    <row r="45" spans="1:25" ht="26.1" customHeight="1">
      <c r="A45" s="18"/>
      <c r="B45" s="18"/>
      <c r="C45" s="18"/>
      <c r="D45" s="18"/>
      <c r="E45" s="3"/>
      <c r="F45" s="3"/>
      <c r="G45" s="3"/>
      <c r="H45" s="3"/>
      <c r="I45" s="3"/>
      <c r="J45" s="3"/>
      <c r="K45" s="3"/>
      <c r="L45" s="3"/>
      <c r="M45" s="4" t="str">
        <f t="shared" si="2"/>
      </c>
      <c r="N45" s="4" t="str">
        <f>IF(M45="","",IF(ISNUMBER(M45),IF(M45&lt;'Scoring Methodology'!$F$16,"Low",IF(M45&lt;'Scoring Methodology'!$F$17,"Moderate",IF(M45&lt;'Scoring Methodology'!$F$18,"High","Critical"))),"Invalid input"))</f>
      </c>
      <c r="O45" s="3"/>
      <c r="P45" s="3"/>
      <c r="Q45" s="3"/>
      <c r="R45" s="3"/>
      <c r="S45" s="3"/>
      <c r="T45" s="3"/>
      <c r="U45" s="3"/>
      <c r="V45" s="4" t="str">
        <f t="shared" si="3"/>
      </c>
      <c r="W45" s="4" t="str">
        <f>IF(V45="","",IF(ISNUMBER(V45),IF(V45&lt;'Scoring Methodology'!$F$16,"Low",IF(V45&lt;'Scoring Methodology'!$F$17,"Moderate",IF(V45&lt;'Scoring Methodology'!$F$18,"High","Critical"))),"Invalid input"))</f>
      </c>
      <c r="X45" s="3"/>
      <c r="Y45" s="4" t="n">
        <f>IF(E45="",0,IF(AND(OR(Dashboard!$L$7="All",Q45=Dashboard!$L$7),OR(Dashboard!$T$7="All",N45=Dashboard!$T$7)),1,0))</f>
        <v>0</v>
      </c>
    </row>
    <row r="46" spans="1:25" ht="26.1" customHeight="1">
      <c r="A46" s="18"/>
      <c r="B46" s="18"/>
      <c r="C46" s="18"/>
      <c r="D46" s="18"/>
      <c r="E46" s="3"/>
      <c r="F46" s="3"/>
      <c r="G46" s="3"/>
      <c r="H46" s="3"/>
      <c r="I46" s="3"/>
      <c r="J46" s="3"/>
      <c r="K46" s="3"/>
      <c r="L46" s="3"/>
      <c r="M46" s="4" t="str">
        <f t="shared" si="2"/>
      </c>
      <c r="N46" s="4" t="str">
        <f>IF(M46="","",IF(ISNUMBER(M46),IF(M46&lt;'Scoring Methodology'!$F$16,"Low",IF(M46&lt;'Scoring Methodology'!$F$17,"Moderate",IF(M46&lt;'Scoring Methodology'!$F$18,"High","Critical"))),"Invalid input"))</f>
      </c>
      <c r="O46" s="3"/>
      <c r="P46" s="3"/>
      <c r="Q46" s="3"/>
      <c r="R46" s="3"/>
      <c r="S46" s="3"/>
      <c r="T46" s="3"/>
      <c r="U46" s="3"/>
      <c r="V46" s="4" t="str">
        <f t="shared" si="3"/>
      </c>
      <c r="W46" s="4" t="str">
        <f>IF(V46="","",IF(ISNUMBER(V46),IF(V46&lt;'Scoring Methodology'!$F$16,"Low",IF(V46&lt;'Scoring Methodology'!$F$17,"Moderate",IF(V46&lt;'Scoring Methodology'!$F$18,"High","Critical"))),"Invalid input"))</f>
      </c>
      <c r="X46" s="3"/>
      <c r="Y46" s="4" t="n">
        <f>IF(E46="",0,IF(AND(OR(Dashboard!$L$7="All",Q46=Dashboard!$L$7),OR(Dashboard!$T$7="All",N46=Dashboard!$T$7)),1,0))</f>
        <v>0</v>
      </c>
    </row>
    <row r="47" spans="1:25" ht="26.1" customHeight="1">
      <c r="A47" s="18"/>
      <c r="B47" s="18"/>
      <c r="C47" s="18"/>
      <c r="D47" s="18"/>
      <c r="E47" s="3"/>
      <c r="F47" s="3"/>
      <c r="G47" s="3"/>
      <c r="H47" s="3"/>
      <c r="I47" s="3"/>
      <c r="J47" s="3"/>
      <c r="K47" s="3"/>
      <c r="L47" s="3"/>
      <c r="M47" s="4" t="str">
        <f t="shared" si="2"/>
      </c>
      <c r="N47" s="4" t="str">
        <f>IF(M47="","",IF(ISNUMBER(M47),IF(M47&lt;'Scoring Methodology'!$F$16,"Low",IF(M47&lt;'Scoring Methodology'!$F$17,"Moderate",IF(M47&lt;'Scoring Methodology'!$F$18,"High","Critical"))),"Invalid input"))</f>
      </c>
      <c r="O47" s="3"/>
      <c r="P47" s="3"/>
      <c r="Q47" s="3"/>
      <c r="R47" s="3"/>
      <c r="S47" s="3"/>
      <c r="T47" s="3"/>
      <c r="U47" s="3"/>
      <c r="V47" s="4" t="str">
        <f t="shared" si="3"/>
      </c>
      <c r="W47" s="4" t="str">
        <f>IF(V47="","",IF(ISNUMBER(V47),IF(V47&lt;'Scoring Methodology'!$F$16,"Low",IF(V47&lt;'Scoring Methodology'!$F$17,"Moderate",IF(V47&lt;'Scoring Methodology'!$F$18,"High","Critical"))),"Invalid input"))</f>
      </c>
      <c r="X47" s="3"/>
      <c r="Y47" s="4" t="n">
        <f>IF(E47="",0,IF(AND(OR(Dashboard!$L$7="All",Q47=Dashboard!$L$7),OR(Dashboard!$T$7="All",N47=Dashboard!$T$7)),1,0))</f>
        <v>0</v>
      </c>
    </row>
    <row r="48" spans="1:25" ht="26.1" customHeight="1">
      <c r="A48" s="18"/>
      <c r="B48" s="18"/>
      <c r="C48" s="18"/>
      <c r="D48" s="18"/>
      <c r="E48" s="3"/>
      <c r="F48" s="3"/>
      <c r="G48" s="3"/>
      <c r="H48" s="3"/>
      <c r="I48" s="3"/>
      <c r="J48" s="3"/>
      <c r="K48" s="3"/>
      <c r="L48" s="3"/>
      <c r="M48" s="4" t="str">
        <f t="shared" si="2"/>
      </c>
      <c r="N48" s="4" t="str">
        <f>IF(M48="","",IF(ISNUMBER(M48),IF(M48&lt;'Scoring Methodology'!$F$16,"Low",IF(M48&lt;'Scoring Methodology'!$F$17,"Moderate",IF(M48&lt;'Scoring Methodology'!$F$18,"High","Critical"))),"Invalid input"))</f>
      </c>
      <c r="O48" s="3"/>
      <c r="P48" s="3"/>
      <c r="Q48" s="3"/>
      <c r="R48" s="3"/>
      <c r="S48" s="3"/>
      <c r="T48" s="3"/>
      <c r="U48" s="3"/>
      <c r="V48" s="4" t="str">
        <f t="shared" si="3"/>
      </c>
      <c r="W48" s="4" t="str">
        <f>IF(V48="","",IF(ISNUMBER(V48),IF(V48&lt;'Scoring Methodology'!$F$16,"Low",IF(V48&lt;'Scoring Methodology'!$F$17,"Moderate",IF(V48&lt;'Scoring Methodology'!$F$18,"High","Critical"))),"Invalid input"))</f>
      </c>
      <c r="X48" s="3"/>
      <c r="Y48" s="4" t="n">
        <f>IF(E48="",0,IF(AND(OR(Dashboard!$L$7="All",Q48=Dashboard!$L$7),OR(Dashboard!$T$7="All",N48=Dashboard!$T$7)),1,0))</f>
        <v>0</v>
      </c>
    </row>
    <row r="49" spans="1:25" ht="26.1" customHeight="1">
      <c r="A49" s="18"/>
      <c r="B49" s="18"/>
      <c r="C49" s="18"/>
      <c r="D49" s="18"/>
      <c r="E49" s="3"/>
      <c r="F49" s="3"/>
      <c r="G49" s="3"/>
      <c r="H49" s="3"/>
      <c r="I49" s="3"/>
      <c r="J49" s="3"/>
      <c r="K49" s="3"/>
      <c r="L49" s="3"/>
      <c r="M49" s="4" t="str">
        <f t="shared" si="2"/>
      </c>
      <c r="N49" s="4" t="str">
        <f>IF(M49="","",IF(ISNUMBER(M49),IF(M49&lt;'Scoring Methodology'!$F$16,"Low",IF(M49&lt;'Scoring Methodology'!$F$17,"Moderate",IF(M49&lt;'Scoring Methodology'!$F$18,"High","Critical"))),"Invalid input"))</f>
      </c>
      <c r="O49" s="3"/>
      <c r="P49" s="3"/>
      <c r="Q49" s="3"/>
      <c r="R49" s="3"/>
      <c r="S49" s="3"/>
      <c r="T49" s="3"/>
      <c r="U49" s="3"/>
      <c r="V49" s="4" t="str">
        <f t="shared" si="3"/>
      </c>
      <c r="W49" s="4" t="str">
        <f>IF(V49="","",IF(ISNUMBER(V49),IF(V49&lt;'Scoring Methodology'!$F$16,"Low",IF(V49&lt;'Scoring Methodology'!$F$17,"Moderate",IF(V49&lt;'Scoring Methodology'!$F$18,"High","Critical"))),"Invalid input"))</f>
      </c>
      <c r="X49" s="3"/>
      <c r="Y49" s="4" t="n">
        <f>IF(E49="",0,IF(AND(OR(Dashboard!$L$7="All",Q49=Dashboard!$L$7),OR(Dashboard!$T$7="All",N49=Dashboard!$T$7)),1,0))</f>
        <v>0</v>
      </c>
    </row>
    <row r="50" spans="1:25" ht="26.1" customHeight="1">
      <c r="A50" s="18"/>
      <c r="B50" s="18"/>
      <c r="C50" s="18"/>
      <c r="D50" s="18"/>
      <c r="E50" s="3"/>
      <c r="F50" s="3"/>
      <c r="G50" s="3"/>
      <c r="H50" s="3"/>
      <c r="I50" s="3"/>
      <c r="J50" s="3"/>
      <c r="K50" s="3"/>
      <c r="L50" s="3"/>
      <c r="M50" s="4" t="str">
        <f t="shared" si="2"/>
      </c>
      <c r="N50" s="4" t="str">
        <f>IF(M50="","",IF(ISNUMBER(M50),IF(M50&lt;'Scoring Methodology'!$F$16,"Low",IF(M50&lt;'Scoring Methodology'!$F$17,"Moderate",IF(M50&lt;'Scoring Methodology'!$F$18,"High","Critical"))),"Invalid input"))</f>
      </c>
      <c r="O50" s="3"/>
      <c r="P50" s="3"/>
      <c r="Q50" s="3"/>
      <c r="R50" s="3"/>
      <c r="S50" s="3"/>
      <c r="T50" s="3"/>
      <c r="U50" s="3"/>
      <c r="V50" s="4" t="str">
        <f t="shared" si="3"/>
      </c>
      <c r="W50" s="4" t="str">
        <f>IF(V50="","",IF(ISNUMBER(V50),IF(V50&lt;'Scoring Methodology'!$F$16,"Low",IF(V50&lt;'Scoring Methodology'!$F$17,"Moderate",IF(V50&lt;'Scoring Methodology'!$F$18,"High","Critical"))),"Invalid input"))</f>
      </c>
      <c r="X50" s="3"/>
      <c r="Y50" s="4" t="n">
        <f>IF(E50="",0,IF(AND(OR(Dashboard!$L$7="All",Q50=Dashboard!$L$7),OR(Dashboard!$T$7="All",N50=Dashboard!$T$7)),1,0))</f>
        <v>0</v>
      </c>
    </row>
    <row r="51" spans="1:25" ht="26.1" customHeight="1">
      <c r="A51" s="18"/>
      <c r="B51" s="18"/>
      <c r="C51" s="18"/>
      <c r="D51" s="18"/>
      <c r="E51" s="3"/>
      <c r="F51" s="3"/>
      <c r="G51" s="3"/>
      <c r="H51" s="3"/>
      <c r="I51" s="3"/>
      <c r="J51" s="3"/>
      <c r="K51" s="3"/>
      <c r="L51" s="3"/>
      <c r="M51" s="4" t="str">
        <f t="shared" si="2"/>
      </c>
      <c r="N51" s="4" t="str">
        <f>IF(M51="","",IF(ISNUMBER(M51),IF(M51&lt;'Scoring Methodology'!$F$16,"Low",IF(M51&lt;'Scoring Methodology'!$F$17,"Moderate",IF(M51&lt;'Scoring Methodology'!$F$18,"High","Critical"))),"Invalid input"))</f>
      </c>
      <c r="O51" s="3"/>
      <c r="P51" s="3"/>
      <c r="Q51" s="3"/>
      <c r="R51" s="3"/>
      <c r="S51" s="3"/>
      <c r="T51" s="3"/>
      <c r="U51" s="3"/>
      <c r="V51" s="4" t="str">
        <f t="shared" si="3"/>
      </c>
      <c r="W51" s="4" t="str">
        <f>IF(V51="","",IF(ISNUMBER(V51),IF(V51&lt;'Scoring Methodology'!$F$16,"Low",IF(V51&lt;'Scoring Methodology'!$F$17,"Moderate",IF(V51&lt;'Scoring Methodology'!$F$18,"High","Critical"))),"Invalid input"))</f>
      </c>
      <c r="X51" s="3"/>
      <c r="Y51" s="4" t="n">
        <f>IF(E51="",0,IF(AND(OR(Dashboard!$L$7="All",Q51=Dashboard!$L$7),OR(Dashboard!$T$7="All",N51=Dashboard!$T$7)),1,0))</f>
        <v>0</v>
      </c>
    </row>
    <row r="52" spans="1:25" ht="26.1" customHeight="1">
      <c r="A52" s="18"/>
      <c r="B52" s="18"/>
      <c r="C52" s="18"/>
      <c r="D52" s="18"/>
      <c r="E52" s="3"/>
      <c r="F52" s="3"/>
      <c r="G52" s="3"/>
      <c r="H52" s="3"/>
      <c r="I52" s="3"/>
      <c r="J52" s="3"/>
      <c r="K52" s="3"/>
      <c r="L52" s="3"/>
      <c r="M52" s="4" t="str">
        <f t="shared" si="2"/>
      </c>
      <c r="N52" s="4" t="str">
        <f>IF(M52="","",IF(ISNUMBER(M52),IF(M52&lt;'Scoring Methodology'!$F$16,"Low",IF(M52&lt;'Scoring Methodology'!$F$17,"Moderate",IF(M52&lt;'Scoring Methodology'!$F$18,"High","Critical"))),"Invalid input"))</f>
      </c>
      <c r="O52" s="3"/>
      <c r="P52" s="3"/>
      <c r="Q52" s="3"/>
      <c r="R52" s="3"/>
      <c r="S52" s="3"/>
      <c r="T52" s="3"/>
      <c r="U52" s="3"/>
      <c r="V52" s="4" t="str">
        <f t="shared" si="3"/>
      </c>
      <c r="W52" s="4" t="str">
        <f>IF(V52="","",IF(ISNUMBER(V52),IF(V52&lt;'Scoring Methodology'!$F$16,"Low",IF(V52&lt;'Scoring Methodology'!$F$17,"Moderate",IF(V52&lt;'Scoring Methodology'!$F$18,"High","Critical"))),"Invalid input"))</f>
      </c>
      <c r="X52" s="3"/>
      <c r="Y52" s="4" t="n">
        <f>IF(E52="",0,IF(AND(OR(Dashboard!$L$7="All",Q52=Dashboard!$L$7),OR(Dashboard!$T$7="All",N52=Dashboard!$T$7)),1,0))</f>
        <v>0</v>
      </c>
    </row>
    <row r="53" spans="1:25" ht="26.1" customHeight="1">
      <c r="A53" s="18"/>
      <c r="B53" s="18"/>
      <c r="C53" s="18"/>
      <c r="D53" s="18"/>
      <c r="E53" s="3"/>
      <c r="F53" s="3"/>
      <c r="G53" s="3"/>
      <c r="H53" s="3"/>
      <c r="I53" s="3"/>
      <c r="J53" s="3"/>
      <c r="K53" s="3"/>
      <c r="L53" s="3"/>
      <c r="M53" s="4" t="str">
        <f t="shared" si="2"/>
      </c>
      <c r="N53" s="4" t="str">
        <f>IF(M53="","",IF(ISNUMBER(M53),IF(M53&lt;'Scoring Methodology'!$F$16,"Low",IF(M53&lt;'Scoring Methodology'!$F$17,"Moderate",IF(M53&lt;'Scoring Methodology'!$F$18,"High","Critical"))),"Invalid input"))</f>
      </c>
      <c r="O53" s="3"/>
      <c r="P53" s="3"/>
      <c r="Q53" s="3"/>
      <c r="R53" s="3"/>
      <c r="S53" s="3"/>
      <c r="T53" s="3"/>
      <c r="U53" s="3"/>
      <c r="V53" s="4" t="str">
        <f t="shared" si="3"/>
      </c>
      <c r="W53" s="4" t="str">
        <f>IF(V53="","",IF(ISNUMBER(V53),IF(V53&lt;'Scoring Methodology'!$F$16,"Low",IF(V53&lt;'Scoring Methodology'!$F$17,"Moderate",IF(V53&lt;'Scoring Methodology'!$F$18,"High","Critical"))),"Invalid input"))</f>
      </c>
      <c r="X53" s="3"/>
      <c r="Y53" s="4" t="n">
        <f>IF(E53="",0,IF(AND(OR(Dashboard!$L$7="All",Q53=Dashboard!$L$7),OR(Dashboard!$T$7="All",N53=Dashboard!$T$7)),1,0))</f>
        <v>0</v>
      </c>
    </row>
    <row r="54" spans="1:25" ht="26.1" customHeight="1">
      <c r="A54" s="18"/>
      <c r="B54" s="18"/>
      <c r="C54" s="18"/>
      <c r="D54" s="18"/>
      <c r="E54" s="3"/>
      <c r="F54" s="3"/>
      <c r="G54" s="3"/>
      <c r="H54" s="3"/>
      <c r="I54" s="3"/>
      <c r="J54" s="3"/>
      <c r="K54" s="3"/>
      <c r="L54" s="3"/>
      <c r="M54" s="4" t="str">
        <f t="shared" si="2"/>
      </c>
      <c r="N54" s="4" t="str">
        <f>IF(M54="","",IF(ISNUMBER(M54),IF(M54&lt;'Scoring Methodology'!$F$16,"Low",IF(M54&lt;'Scoring Methodology'!$F$17,"Moderate",IF(M54&lt;'Scoring Methodology'!$F$18,"High","Critical"))),"Invalid input"))</f>
      </c>
      <c r="O54" s="3"/>
      <c r="P54" s="3"/>
      <c r="Q54" s="3"/>
      <c r="R54" s="3"/>
      <c r="S54" s="3"/>
      <c r="T54" s="3"/>
      <c r="U54" s="3"/>
      <c r="V54" s="4" t="str">
        <f t="shared" si="3"/>
      </c>
      <c r="W54" s="4" t="str">
        <f>IF(V54="","",IF(ISNUMBER(V54),IF(V54&lt;'Scoring Methodology'!$F$16,"Low",IF(V54&lt;'Scoring Methodology'!$F$17,"Moderate",IF(V54&lt;'Scoring Methodology'!$F$18,"High","Critical"))),"Invalid input"))</f>
      </c>
      <c r="X54" s="3"/>
      <c r="Y54" s="4" t="n">
        <f>IF(E54="",0,IF(AND(OR(Dashboard!$L$7="All",Q54=Dashboard!$L$7),OR(Dashboard!$T$7="All",N54=Dashboard!$T$7)),1,0))</f>
        <v>0</v>
      </c>
    </row>
    <row r="55" spans="1:25" ht="26.1" customHeight="1">
      <c r="A55" s="18"/>
      <c r="B55" s="18"/>
      <c r="C55" s="18"/>
      <c r="D55" s="18"/>
      <c r="E55" s="3"/>
      <c r="F55" s="3"/>
      <c r="G55" s="3"/>
      <c r="H55" s="3"/>
      <c r="I55" s="3"/>
      <c r="J55" s="3"/>
      <c r="K55" s="3"/>
      <c r="L55" s="3"/>
      <c r="M55" s="4" t="str">
        <f t="shared" si="2"/>
      </c>
      <c r="N55" s="4" t="str">
        <f>IF(M55="","",IF(ISNUMBER(M55),IF(M55&lt;'Scoring Methodology'!$F$16,"Low",IF(M55&lt;'Scoring Methodology'!$F$17,"Moderate",IF(M55&lt;'Scoring Methodology'!$F$18,"High","Critical"))),"Invalid input"))</f>
      </c>
      <c r="O55" s="3"/>
      <c r="P55" s="3"/>
      <c r="Q55" s="3"/>
      <c r="R55" s="3"/>
      <c r="S55" s="3"/>
      <c r="T55" s="3"/>
      <c r="U55" s="3"/>
      <c r="V55" s="4" t="str">
        <f t="shared" si="3"/>
      </c>
      <c r="W55" s="4" t="str">
        <f>IF(V55="","",IF(ISNUMBER(V55),IF(V55&lt;'Scoring Methodology'!$F$16,"Low",IF(V55&lt;'Scoring Methodology'!$F$17,"Moderate",IF(V55&lt;'Scoring Methodology'!$F$18,"High","Critical"))),"Invalid input"))</f>
      </c>
      <c r="X55" s="3"/>
      <c r="Y55" s="4" t="n">
        <f>IF(E55="",0,IF(AND(OR(Dashboard!$L$7="All",Q55=Dashboard!$L$7),OR(Dashboard!$T$7="All",N55=Dashboard!$T$7)),1,0))</f>
        <v>0</v>
      </c>
    </row>
    <row r="56" spans="1:25" ht="26.1" customHeight="1">
      <c r="A56" s="18"/>
      <c r="B56" s="18"/>
      <c r="C56" s="18"/>
      <c r="D56" s="18"/>
      <c r="E56" s="3"/>
      <c r="F56" s="3"/>
      <c r="G56" s="3"/>
      <c r="H56" s="3"/>
      <c r="I56" s="3"/>
      <c r="J56" s="3"/>
      <c r="K56" s="3"/>
      <c r="L56" s="3"/>
      <c r="M56" s="4" t="str">
        <f t="shared" si="2"/>
      </c>
      <c r="N56" s="4" t="str">
        <f>IF(M56="","",IF(ISNUMBER(M56),IF(M56&lt;'Scoring Methodology'!$F$16,"Low",IF(M56&lt;'Scoring Methodology'!$F$17,"Moderate",IF(M56&lt;'Scoring Methodology'!$F$18,"High","Critical"))),"Invalid input"))</f>
      </c>
      <c r="O56" s="3"/>
      <c r="P56" s="3"/>
      <c r="Q56" s="3"/>
      <c r="R56" s="3"/>
      <c r="S56" s="3"/>
      <c r="T56" s="3"/>
      <c r="U56" s="3"/>
      <c r="V56" s="4" t="str">
        <f t="shared" si="3"/>
      </c>
      <c r="W56" s="4" t="str">
        <f>IF(V56="","",IF(ISNUMBER(V56),IF(V56&lt;'Scoring Methodology'!$F$16,"Low",IF(V56&lt;'Scoring Methodology'!$F$17,"Moderate",IF(V56&lt;'Scoring Methodology'!$F$18,"High","Critical"))),"Invalid input"))</f>
      </c>
      <c r="X56" s="3"/>
      <c r="Y56" s="4" t="n">
        <f>IF(E56="",0,IF(AND(OR(Dashboard!$L$7="All",Q56=Dashboard!$L$7),OR(Dashboard!$T$7="All",N56=Dashboard!$T$7)),1,0))</f>
        <v>0</v>
      </c>
    </row>
    <row r="57" spans="1:25" ht="26.1" customHeight="1">
      <c r="A57" s="18"/>
      <c r="B57" s="18"/>
      <c r="C57" s="18"/>
      <c r="D57" s="18"/>
      <c r="E57" s="3"/>
      <c r="F57" s="3"/>
      <c r="G57" s="3"/>
      <c r="H57" s="3"/>
      <c r="I57" s="3"/>
      <c r="J57" s="3"/>
      <c r="K57" s="3"/>
      <c r="L57" s="3"/>
      <c r="M57" s="4" t="str">
        <f t="shared" si="2"/>
      </c>
      <c r="N57" s="4" t="str">
        <f>IF(M57="","",IF(ISNUMBER(M57),IF(M57&lt;'Scoring Methodology'!$F$16,"Low",IF(M57&lt;'Scoring Methodology'!$F$17,"Moderate",IF(M57&lt;'Scoring Methodology'!$F$18,"High","Critical"))),"Invalid input"))</f>
      </c>
      <c r="O57" s="3"/>
      <c r="P57" s="3"/>
      <c r="Q57" s="3"/>
      <c r="R57" s="3"/>
      <c r="S57" s="3"/>
      <c r="T57" s="3"/>
      <c r="U57" s="3"/>
      <c r="V57" s="4" t="str">
        <f t="shared" si="3"/>
      </c>
      <c r="W57" s="4" t="str">
        <f>IF(V57="","",IF(ISNUMBER(V57),IF(V57&lt;'Scoring Methodology'!$F$16,"Low",IF(V57&lt;'Scoring Methodology'!$F$17,"Moderate",IF(V57&lt;'Scoring Methodology'!$F$18,"High","Critical"))),"Invalid input"))</f>
      </c>
      <c r="X57" s="3"/>
      <c r="Y57" s="4" t="n">
        <f>IF(E57="",0,IF(AND(OR(Dashboard!$L$7="All",Q57=Dashboard!$L$7),OR(Dashboard!$T$7="All",N57=Dashboard!$T$7)),1,0))</f>
        <v>0</v>
      </c>
    </row>
    <row r="58" spans="1:25" ht="26.1" customHeight="1">
      <c r="A58" s="18"/>
      <c r="B58" s="18"/>
      <c r="C58" s="18"/>
      <c r="D58" s="18"/>
      <c r="E58" s="3"/>
      <c r="F58" s="3"/>
      <c r="G58" s="3"/>
      <c r="H58" s="3"/>
      <c r="I58" s="3"/>
      <c r="J58" s="3"/>
      <c r="K58" s="3"/>
      <c r="L58" s="3"/>
      <c r="M58" s="4" t="str">
        <f t="shared" si="2"/>
      </c>
      <c r="N58" s="4" t="str">
        <f>IF(M58="","",IF(ISNUMBER(M58),IF(M58&lt;'Scoring Methodology'!$F$16,"Low",IF(M58&lt;'Scoring Methodology'!$F$17,"Moderate",IF(M58&lt;'Scoring Methodology'!$F$18,"High","Critical"))),"Invalid input"))</f>
      </c>
      <c r="O58" s="3"/>
      <c r="P58" s="3"/>
      <c r="Q58" s="3"/>
      <c r="R58" s="3"/>
      <c r="S58" s="3"/>
      <c r="T58" s="3"/>
      <c r="U58" s="3"/>
      <c r="V58" s="4" t="str">
        <f t="shared" si="3"/>
      </c>
      <c r="W58" s="4" t="str">
        <f>IF(V58="","",IF(ISNUMBER(V58),IF(V58&lt;'Scoring Methodology'!$F$16,"Low",IF(V58&lt;'Scoring Methodology'!$F$17,"Moderate",IF(V58&lt;'Scoring Methodology'!$F$18,"High","Critical"))),"Invalid input"))</f>
      </c>
      <c r="X58" s="3"/>
      <c r="Y58" s="4" t="n">
        <f>IF(E58="",0,IF(AND(OR(Dashboard!$L$7="All",Q58=Dashboard!$L$7),OR(Dashboard!$T$7="All",N58=Dashboard!$T$7)),1,0))</f>
        <v>0</v>
      </c>
    </row>
    <row r="59" spans="1:25" ht="26.1" customHeight="1">
      <c r="A59" s="18"/>
      <c r="B59" s="18"/>
      <c r="C59" s="18"/>
      <c r="D59" s="18"/>
      <c r="E59" s="3"/>
      <c r="F59" s="3"/>
      <c r="G59" s="3"/>
      <c r="H59" s="3"/>
      <c r="I59" s="3"/>
      <c r="J59" s="3"/>
      <c r="K59" s="3"/>
      <c r="L59" s="3"/>
      <c r="M59" s="4" t="str">
        <f t="shared" si="2"/>
      </c>
      <c r="N59" s="4" t="str">
        <f>IF(M59="","",IF(ISNUMBER(M59),IF(M59&lt;'Scoring Methodology'!$F$16,"Low",IF(M59&lt;'Scoring Methodology'!$F$17,"Moderate",IF(M59&lt;'Scoring Methodology'!$F$18,"High","Critical"))),"Invalid input"))</f>
      </c>
      <c r="O59" s="3"/>
      <c r="P59" s="3"/>
      <c r="Q59" s="3"/>
      <c r="R59" s="3"/>
      <c r="S59" s="3"/>
      <c r="T59" s="3"/>
      <c r="U59" s="3"/>
      <c r="V59" s="4" t="str">
        <f t="shared" si="3"/>
      </c>
      <c r="W59" s="4" t="str">
        <f>IF(V59="","",IF(ISNUMBER(V59),IF(V59&lt;'Scoring Methodology'!$F$16,"Low",IF(V59&lt;'Scoring Methodology'!$F$17,"Moderate",IF(V59&lt;'Scoring Methodology'!$F$18,"High","Critical"))),"Invalid input"))</f>
      </c>
      <c r="X59" s="3"/>
      <c r="Y59" s="4" t="n">
        <f>IF(E59="",0,IF(AND(OR(Dashboard!$L$7="All",Q59=Dashboard!$L$7),OR(Dashboard!$T$7="All",N59=Dashboard!$T$7)),1,0))</f>
        <v>0</v>
      </c>
    </row>
    <row r="60" spans="1:25" ht="26.1" customHeight="1">
      <c r="A60" s="18"/>
      <c r="B60" s="18"/>
      <c r="C60" s="18"/>
      <c r="D60" s="18"/>
      <c r="E60" s="3"/>
      <c r="F60" s="3"/>
      <c r="G60" s="3"/>
      <c r="H60" s="3"/>
      <c r="I60" s="3"/>
      <c r="J60" s="3"/>
      <c r="K60" s="3"/>
      <c r="L60" s="3"/>
      <c r="M60" s="4" t="str">
        <f t="shared" si="2"/>
      </c>
      <c r="N60" s="4" t="str">
        <f>IF(M60="","",IF(ISNUMBER(M60),IF(M60&lt;'Scoring Methodology'!$F$16,"Low",IF(M60&lt;'Scoring Methodology'!$F$17,"Moderate",IF(M60&lt;'Scoring Methodology'!$F$18,"High","Critical"))),"Invalid input"))</f>
      </c>
      <c r="O60" s="3"/>
      <c r="P60" s="3"/>
      <c r="Q60" s="3"/>
      <c r="R60" s="3"/>
      <c r="S60" s="3"/>
      <c r="T60" s="3"/>
      <c r="U60" s="3"/>
      <c r="V60" s="4" t="str">
        <f t="shared" si="3"/>
      </c>
      <c r="W60" s="4" t="str">
        <f>IF(V60="","",IF(ISNUMBER(V60),IF(V60&lt;'Scoring Methodology'!$F$16,"Low",IF(V60&lt;'Scoring Methodology'!$F$17,"Moderate",IF(V60&lt;'Scoring Methodology'!$F$18,"High","Critical"))),"Invalid input"))</f>
      </c>
      <c r="X60" s="3"/>
      <c r="Y60" s="4" t="n">
        <f>IF(E60="",0,IF(AND(OR(Dashboard!$L$7="All",Q60=Dashboard!$L$7),OR(Dashboard!$T$7="All",N60=Dashboard!$T$7)),1,0))</f>
        <v>0</v>
      </c>
    </row>
    <row r="61" spans="1:25" ht="26.1" customHeight="1">
      <c r="A61" s="18"/>
      <c r="B61" s="18"/>
      <c r="C61" s="18"/>
      <c r="D61" s="18"/>
      <c r="E61" s="3"/>
      <c r="F61" s="3"/>
      <c r="G61" s="3"/>
      <c r="H61" s="3"/>
      <c r="I61" s="3"/>
      <c r="J61" s="3"/>
      <c r="K61" s="3"/>
      <c r="L61" s="3"/>
      <c r="M61" s="4" t="str">
        <f t="shared" si="2"/>
      </c>
      <c r="N61" s="4" t="str">
        <f>IF(M61="","",IF(ISNUMBER(M61),IF(M61&lt;'Scoring Methodology'!$F$16,"Low",IF(M61&lt;'Scoring Methodology'!$F$17,"Moderate",IF(M61&lt;'Scoring Methodology'!$F$18,"High","Critical"))),"Invalid input"))</f>
      </c>
      <c r="O61" s="3"/>
      <c r="P61" s="3"/>
      <c r="Q61" s="3"/>
      <c r="R61" s="3"/>
      <c r="S61" s="3"/>
      <c r="T61" s="3"/>
      <c r="U61" s="3"/>
      <c r="V61" s="4" t="str">
        <f t="shared" si="3"/>
      </c>
      <c r="W61" s="4" t="str">
        <f>IF(V61="","",IF(ISNUMBER(V61),IF(V61&lt;'Scoring Methodology'!$F$16,"Low",IF(V61&lt;'Scoring Methodology'!$F$17,"Moderate",IF(V61&lt;'Scoring Methodology'!$F$18,"High","Critical"))),"Invalid input"))</f>
      </c>
      <c r="X61" s="3"/>
      <c r="Y61" s="4" t="n">
        <f>IF(E61="",0,IF(AND(OR(Dashboard!$L$7="All",Q61=Dashboard!$L$7),OR(Dashboard!$T$7="All",N61=Dashboard!$T$7)),1,0))</f>
        <v>0</v>
      </c>
    </row>
    <row r="62" spans="1:25" ht="26.1" customHeight="1">
      <c r="A62" s="18"/>
      <c r="B62" s="18"/>
      <c r="C62" s="18"/>
      <c r="D62" s="18"/>
      <c r="E62" s="3"/>
      <c r="F62" s="3"/>
      <c r="G62" s="3"/>
      <c r="H62" s="3"/>
      <c r="I62" s="3"/>
      <c r="J62" s="3"/>
      <c r="K62" s="3"/>
      <c r="L62" s="3"/>
      <c r="M62" s="4" t="str">
        <f t="shared" si="2"/>
      </c>
      <c r="N62" s="4" t="str">
        <f>IF(M62="","",IF(ISNUMBER(M62),IF(M62&lt;'Scoring Methodology'!$F$16,"Low",IF(M62&lt;'Scoring Methodology'!$F$17,"Moderate",IF(M62&lt;'Scoring Methodology'!$F$18,"High","Critical"))),"Invalid input"))</f>
      </c>
      <c r="O62" s="3"/>
      <c r="P62" s="3"/>
      <c r="Q62" s="3"/>
      <c r="R62" s="3"/>
      <c r="S62" s="3"/>
      <c r="T62" s="3"/>
      <c r="U62" s="3"/>
      <c r="V62" s="4" t="str">
        <f t="shared" si="3"/>
      </c>
      <c r="W62" s="4" t="str">
        <f>IF(V62="","",IF(ISNUMBER(V62),IF(V62&lt;'Scoring Methodology'!$F$16,"Low",IF(V62&lt;'Scoring Methodology'!$F$17,"Moderate",IF(V62&lt;'Scoring Methodology'!$F$18,"High","Critical"))),"Invalid input"))</f>
      </c>
      <c r="X62" s="3"/>
      <c r="Y62" s="4" t="n">
        <f>IF(E62="",0,IF(AND(OR(Dashboard!$L$7="All",Q62=Dashboard!$L$7),OR(Dashboard!$T$7="All",N62=Dashboard!$T$7)),1,0))</f>
        <v>0</v>
      </c>
    </row>
    <row r="63" spans="1:25" ht="26.1" customHeight="1">
      <c r="A63" s="18"/>
      <c r="B63" s="18"/>
      <c r="C63" s="18"/>
      <c r="D63" s="18"/>
      <c r="E63" s="3"/>
      <c r="F63" s="3"/>
      <c r="G63" s="3"/>
      <c r="H63" s="3"/>
      <c r="I63" s="3"/>
      <c r="J63" s="3"/>
      <c r="K63" s="3"/>
      <c r="L63" s="3"/>
      <c r="M63" s="4" t="str">
        <f t="shared" si="2"/>
      </c>
      <c r="N63" s="4" t="str">
        <f>IF(M63="","",IF(ISNUMBER(M63),IF(M63&lt;'Scoring Methodology'!$F$16,"Low",IF(M63&lt;'Scoring Methodology'!$F$17,"Moderate",IF(M63&lt;'Scoring Methodology'!$F$18,"High","Critical"))),"Invalid input"))</f>
      </c>
      <c r="O63" s="3"/>
      <c r="P63" s="3"/>
      <c r="Q63" s="3"/>
      <c r="R63" s="3"/>
      <c r="S63" s="3"/>
      <c r="T63" s="3"/>
      <c r="U63" s="3"/>
      <c r="V63" s="4" t="str">
        <f t="shared" si="3"/>
      </c>
      <c r="W63" s="4" t="str">
        <f>IF(V63="","",IF(ISNUMBER(V63),IF(V63&lt;'Scoring Methodology'!$F$16,"Low",IF(V63&lt;'Scoring Methodology'!$F$17,"Moderate",IF(V63&lt;'Scoring Methodology'!$F$18,"High","Critical"))),"Invalid input"))</f>
      </c>
      <c r="X63" s="3"/>
      <c r="Y63" s="4" t="n">
        <f>IF(E63="",0,IF(AND(OR(Dashboard!$L$7="All",Q63=Dashboard!$L$7),OR(Dashboard!$T$7="All",N63=Dashboard!$T$7)),1,0))</f>
        <v>0</v>
      </c>
    </row>
    <row r="64" spans="1:25" ht="26.1" customHeight="1">
      <c r="A64" s="18"/>
      <c r="B64" s="18"/>
      <c r="C64" s="18"/>
      <c r="D64" s="18"/>
      <c r="E64" s="3"/>
      <c r="F64" s="3"/>
      <c r="G64" s="3"/>
      <c r="H64" s="3"/>
      <c r="I64" s="3"/>
      <c r="J64" s="3"/>
      <c r="K64" s="3"/>
      <c r="L64" s="3"/>
      <c r="M64" s="4" t="str">
        <f t="shared" si="2"/>
      </c>
      <c r="N64" s="4" t="str">
        <f>IF(M64="","",IF(ISNUMBER(M64),IF(M64&lt;'Scoring Methodology'!$F$16,"Low",IF(M64&lt;'Scoring Methodology'!$F$17,"Moderate",IF(M64&lt;'Scoring Methodology'!$F$18,"High","Critical"))),"Invalid input"))</f>
      </c>
      <c r="O64" s="3"/>
      <c r="P64" s="3"/>
      <c r="Q64" s="3"/>
      <c r="R64" s="3"/>
      <c r="S64" s="3"/>
      <c r="T64" s="3"/>
      <c r="U64" s="3"/>
      <c r="V64" s="4" t="str">
        <f t="shared" si="3"/>
      </c>
      <c r="W64" s="4" t="str">
        <f>IF(V64="","",IF(ISNUMBER(V64),IF(V64&lt;'Scoring Methodology'!$F$16,"Low",IF(V64&lt;'Scoring Methodology'!$F$17,"Moderate",IF(V64&lt;'Scoring Methodology'!$F$18,"High","Critical"))),"Invalid input"))</f>
      </c>
      <c r="X64" s="3"/>
      <c r="Y64" s="4" t="n">
        <f>IF(E64="",0,IF(AND(OR(Dashboard!$L$7="All",Q64=Dashboard!$L$7),OR(Dashboard!$T$7="All",N64=Dashboard!$T$7)),1,0))</f>
        <v>0</v>
      </c>
    </row>
    <row r="65" spans="1:25" ht="26.1" customHeight="1">
      <c r="A65" s="18"/>
      <c r="B65" s="18"/>
      <c r="C65" s="18"/>
      <c r="D65" s="18"/>
      <c r="E65" s="3"/>
      <c r="F65" s="3"/>
      <c r="G65" s="3"/>
      <c r="H65" s="3"/>
      <c r="I65" s="3"/>
      <c r="J65" s="3"/>
      <c r="K65" s="3"/>
      <c r="L65" s="3"/>
      <c r="M65" s="4" t="str">
        <f t="shared" si="2"/>
      </c>
      <c r="N65" s="4" t="str">
        <f>IF(M65="","",IF(ISNUMBER(M65),IF(M65&lt;'Scoring Methodology'!$F$16,"Low",IF(M65&lt;'Scoring Methodology'!$F$17,"Moderate",IF(M65&lt;'Scoring Methodology'!$F$18,"High","Critical"))),"Invalid input"))</f>
      </c>
      <c r="O65" s="3"/>
      <c r="P65" s="3"/>
      <c r="Q65" s="3"/>
      <c r="R65" s="3"/>
      <c r="S65" s="3"/>
      <c r="T65" s="3"/>
      <c r="U65" s="3"/>
      <c r="V65" s="4" t="str">
        <f t="shared" si="3"/>
      </c>
      <c r="W65" s="4" t="str">
        <f>IF(V65="","",IF(ISNUMBER(V65),IF(V65&lt;'Scoring Methodology'!$F$16,"Low",IF(V65&lt;'Scoring Methodology'!$F$17,"Moderate",IF(V65&lt;'Scoring Methodology'!$F$18,"High","Critical"))),"Invalid input"))</f>
      </c>
      <c r="X65" s="3"/>
      <c r="Y65" s="4" t="n">
        <f>IF(E65="",0,IF(AND(OR(Dashboard!$L$7="All",Q65=Dashboard!$L$7),OR(Dashboard!$T$7="All",N65=Dashboard!$T$7)),1,0))</f>
        <v>0</v>
      </c>
    </row>
    <row r="66" spans="1:25" ht="26.1" customHeight="1">
      <c r="A66" s="18"/>
      <c r="B66" s="18"/>
      <c r="C66" s="18"/>
      <c r="D66" s="18"/>
      <c r="E66" s="3"/>
      <c r="F66" s="3"/>
      <c r="G66" s="3"/>
      <c r="H66" s="3"/>
      <c r="I66" s="3"/>
      <c r="J66" s="3"/>
      <c r="K66" s="3"/>
      <c r="L66" s="3"/>
      <c r="M66" s="4" t="str">
        <f t="shared" si="2"/>
      </c>
      <c r="N66" s="4" t="str">
        <f>IF(M66="","",IF(ISNUMBER(M66),IF(M66&lt;'Scoring Methodology'!$F$16,"Low",IF(M66&lt;'Scoring Methodology'!$F$17,"Moderate",IF(M66&lt;'Scoring Methodology'!$F$18,"High","Critical"))),"Invalid input"))</f>
      </c>
      <c r="O66" s="3"/>
      <c r="P66" s="3"/>
      <c r="Q66" s="3"/>
      <c r="R66" s="3"/>
      <c r="S66" s="3"/>
      <c r="T66" s="3"/>
      <c r="U66" s="3"/>
      <c r="V66" s="4" t="str">
        <f t="shared" si="3"/>
      </c>
      <c r="W66" s="4" t="str">
        <f>IF(V66="","",IF(ISNUMBER(V66),IF(V66&lt;'Scoring Methodology'!$F$16,"Low",IF(V66&lt;'Scoring Methodology'!$F$17,"Moderate",IF(V66&lt;'Scoring Methodology'!$F$18,"High","Critical"))),"Invalid input"))</f>
      </c>
      <c r="X66" s="3"/>
      <c r="Y66" s="4" t="n">
        <f>IF(E66="",0,IF(AND(OR(Dashboard!$L$7="All",Q66=Dashboard!$L$7),OR(Dashboard!$T$7="All",N66=Dashboard!$T$7)),1,0))</f>
        <v>0</v>
      </c>
    </row>
    <row r="67" spans="1:25" ht="26.1" customHeight="1">
      <c r="A67" s="18"/>
      <c r="B67" s="18"/>
      <c r="C67" s="18"/>
      <c r="D67" s="18"/>
      <c r="E67" s="3"/>
      <c r="F67" s="3"/>
      <c r="G67" s="3"/>
      <c r="H67" s="3"/>
      <c r="I67" s="3"/>
      <c r="J67" s="3"/>
      <c r="K67" s="3"/>
      <c r="L67" s="3"/>
      <c r="M67" s="4" t="str">
        <f t="shared" si="2"/>
      </c>
      <c r="N67" s="4" t="str">
        <f>IF(M67="","",IF(ISNUMBER(M67),IF(M67&lt;'Scoring Methodology'!$F$16,"Low",IF(M67&lt;'Scoring Methodology'!$F$17,"Moderate",IF(M67&lt;'Scoring Methodology'!$F$18,"High","Critical"))),"Invalid input"))</f>
      </c>
      <c r="O67" s="3"/>
      <c r="P67" s="3"/>
      <c r="Q67" s="3"/>
      <c r="R67" s="3"/>
      <c r="S67" s="3"/>
      <c r="T67" s="3"/>
      <c r="U67" s="3"/>
      <c r="V67" s="4" t="str">
        <f t="shared" si="3"/>
      </c>
      <c r="W67" s="4" t="str">
        <f>IF(V67="","",IF(ISNUMBER(V67),IF(V67&lt;'Scoring Methodology'!$F$16,"Low",IF(V67&lt;'Scoring Methodology'!$F$17,"Moderate",IF(V67&lt;'Scoring Methodology'!$F$18,"High","Critical"))),"Invalid input"))</f>
      </c>
      <c r="X67" s="3"/>
      <c r="Y67" s="4" t="n">
        <f>IF(E67="",0,IF(AND(OR(Dashboard!$L$7="All",Q67=Dashboard!$L$7),OR(Dashboard!$T$7="All",N67=Dashboard!$T$7)),1,0))</f>
        <v>0</v>
      </c>
    </row>
    <row r="68" spans="1:25" ht="26.1" customHeight="1">
      <c r="A68" s="18"/>
      <c r="B68" s="18"/>
      <c r="C68" s="18"/>
      <c r="D68" s="18"/>
      <c r="E68" s="3"/>
      <c r="F68" s="3"/>
      <c r="G68" s="3"/>
      <c r="H68" s="3"/>
      <c r="I68" s="3"/>
      <c r="J68" s="3"/>
      <c r="K68" s="3"/>
      <c r="L68" s="3"/>
      <c r="M68" s="4" t="str">
        <f t="shared" si="2"/>
      </c>
      <c r="N68" s="4" t="str">
        <f>IF(M68="","",IF(ISNUMBER(M68),IF(M68&lt;'Scoring Methodology'!$F$16,"Low",IF(M68&lt;'Scoring Methodology'!$F$17,"Moderate",IF(M68&lt;'Scoring Methodology'!$F$18,"High","Critical"))),"Invalid input"))</f>
      </c>
      <c r="O68" s="3"/>
      <c r="P68" s="3"/>
      <c r="Q68" s="3"/>
      <c r="R68" s="3"/>
      <c r="S68" s="3"/>
      <c r="T68" s="3"/>
      <c r="U68" s="3"/>
      <c r="V68" s="4" t="str">
        <f t="shared" si="3"/>
      </c>
      <c r="W68" s="4" t="str">
        <f>IF(V68="","",IF(ISNUMBER(V68),IF(V68&lt;'Scoring Methodology'!$F$16,"Low",IF(V68&lt;'Scoring Methodology'!$F$17,"Moderate",IF(V68&lt;'Scoring Methodology'!$F$18,"High","Critical"))),"Invalid input"))</f>
      </c>
      <c r="X68" s="3"/>
      <c r="Y68" s="4" t="n">
        <f>IF(E68="",0,IF(AND(OR(Dashboard!$L$7="All",Q68=Dashboard!$L$7),OR(Dashboard!$T$7="All",N68=Dashboard!$T$7)),1,0))</f>
        <v>0</v>
      </c>
    </row>
    <row r="69" spans="1:25" ht="26.1" customHeight="1">
      <c r="A69" s="18"/>
      <c r="B69" s="18"/>
      <c r="C69" s="18"/>
      <c r="D69" s="18"/>
      <c r="E69" s="3"/>
      <c r="F69" s="3"/>
      <c r="G69" s="3"/>
      <c r="H69" s="3"/>
      <c r="I69" s="3"/>
      <c r="J69" s="3"/>
      <c r="K69" s="3"/>
      <c r="L69" s="3"/>
      <c r="M69" s="4" t="str">
        <f t="shared" si="2"/>
      </c>
      <c r="N69" s="4" t="str">
        <f>IF(M69="","",IF(ISNUMBER(M69),IF(M69&lt;'Scoring Methodology'!$F$16,"Low",IF(M69&lt;'Scoring Methodology'!$F$17,"Moderate",IF(M69&lt;'Scoring Methodology'!$F$18,"High","Critical"))),"Invalid input"))</f>
      </c>
      <c r="O69" s="3"/>
      <c r="P69" s="3"/>
      <c r="Q69" s="3"/>
      <c r="R69" s="3"/>
      <c r="S69" s="3"/>
      <c r="T69" s="3"/>
      <c r="U69" s="3"/>
      <c r="V69" s="4" t="str">
        <f t="shared" si="3"/>
      </c>
      <c r="W69" s="4" t="str">
        <f>IF(V69="","",IF(ISNUMBER(V69),IF(V69&lt;'Scoring Methodology'!$F$16,"Low",IF(V69&lt;'Scoring Methodology'!$F$17,"Moderate",IF(V69&lt;'Scoring Methodology'!$F$18,"High","Critical"))),"Invalid input"))</f>
      </c>
      <c r="X69" s="3"/>
      <c r="Y69" s="4" t="n">
        <f>IF(E69="",0,IF(AND(OR(Dashboard!$L$7="All",Q69=Dashboard!$L$7),OR(Dashboard!$T$7="All",N69=Dashboard!$T$7)),1,0))</f>
        <v>0</v>
      </c>
    </row>
    <row r="70" spans="1:25" ht="26.1" customHeight="1">
      <c r="A70" s="18"/>
      <c r="B70" s="18"/>
      <c r="C70" s="18"/>
      <c r="D70" s="18"/>
      <c r="E70" s="3"/>
      <c r="F70" s="3"/>
      <c r="G70" s="3"/>
      <c r="H70" s="3"/>
      <c r="I70" s="3"/>
      <c r="J70" s="3"/>
      <c r="K70" s="3"/>
      <c r="L70" s="3"/>
      <c r="M70" s="4" t="str">
        <f t="shared" si="2"/>
      </c>
      <c r="N70" s="4" t="str">
        <f>IF(M70="","",IF(ISNUMBER(M70),IF(M70&lt;'Scoring Methodology'!$F$16,"Low",IF(M70&lt;'Scoring Methodology'!$F$17,"Moderate",IF(M70&lt;'Scoring Methodology'!$F$18,"High","Critical"))),"Invalid input"))</f>
      </c>
      <c r="O70" s="3"/>
      <c r="P70" s="3"/>
      <c r="Q70" s="3"/>
      <c r="R70" s="3"/>
      <c r="S70" s="3"/>
      <c r="T70" s="3"/>
      <c r="U70" s="3"/>
      <c r="V70" s="4" t="str">
        <f t="shared" si="3"/>
      </c>
      <c r="W70" s="4" t="str">
        <f>IF(V70="","",IF(ISNUMBER(V70),IF(V70&lt;'Scoring Methodology'!$F$16,"Low",IF(V70&lt;'Scoring Methodology'!$F$17,"Moderate",IF(V70&lt;'Scoring Methodology'!$F$18,"High","Critical"))),"Invalid input"))</f>
      </c>
      <c r="X70" s="3"/>
      <c r="Y70" s="4" t="n">
        <f>IF(E70="",0,IF(AND(OR(Dashboard!$L$7="All",Q70=Dashboard!$L$7),OR(Dashboard!$T$7="All",N70=Dashboard!$T$7)),1,0))</f>
        <v>0</v>
      </c>
    </row>
    <row r="71" spans="1:25" ht="26.1" customHeight="1">
      <c r="A71" s="18"/>
      <c r="B71" s="18"/>
      <c r="C71" s="18"/>
      <c r="D71" s="18"/>
      <c r="E71" s="3"/>
      <c r="F71" s="3"/>
      <c r="G71" s="3"/>
      <c r="H71" s="3"/>
      <c r="I71" s="3"/>
      <c r="J71" s="3"/>
      <c r="K71" s="3"/>
      <c r="L71" s="3"/>
      <c r="M71" s="4" t="str">
        <f t="shared" ref="M71:M102" si="4">IF(E71="","",IF(OR(K71="",L71=""),"",IF(AND(ISNUMBER(K71),ISNUMBER(L71),K71&gt;=1,K71&lt;=5,L71&gt;=1,L71&lt;=5,MOD(K71,1)=0,MOD(L71,1)=0),K71*L71,"Invalid input")))</f>
      </c>
      <c r="N71" s="4" t="str">
        <f>IF(M71="","",IF(ISNUMBER(M71),IF(M71&lt;'Scoring Methodology'!$F$16,"Low",IF(M71&lt;'Scoring Methodology'!$F$17,"Moderate",IF(M71&lt;'Scoring Methodology'!$F$18,"High","Critical"))),"Invalid input"))</f>
      </c>
      <c r="O71" s="3"/>
      <c r="P71" s="3"/>
      <c r="Q71" s="3"/>
      <c r="R71" s="3"/>
      <c r="S71" s="3"/>
      <c r="T71" s="3"/>
      <c r="U71" s="3"/>
      <c r="V71" s="4" t="str">
        <f t="shared" ref="V71:V102" si="5">IF(E71="","",IF(OR(T71="",U71=""),"",IF(AND(ISNUMBER(T71),ISNUMBER(U71),T71&gt;=1,T71&lt;=5,U71&gt;=1,U71&lt;=5,MOD(T71,1)=0,MOD(U71,1)=0),T71*U71,"Invalid input")))</f>
      </c>
      <c r="W71" s="4" t="str">
        <f>IF(V71="","",IF(ISNUMBER(V71),IF(V71&lt;'Scoring Methodology'!$F$16,"Low",IF(V71&lt;'Scoring Methodology'!$F$17,"Moderate",IF(V71&lt;'Scoring Methodology'!$F$18,"High","Critical"))),"Invalid input"))</f>
      </c>
      <c r="X71" s="3"/>
      <c r="Y71" s="4" t="n">
        <f>IF(E71="",0,IF(AND(OR(Dashboard!$L$7="All",Q71=Dashboard!$L$7),OR(Dashboard!$T$7="All",N71=Dashboard!$T$7)),1,0))</f>
        <v>0</v>
      </c>
    </row>
    <row r="72" spans="1:25" ht="26.1" customHeight="1">
      <c r="A72" s="18"/>
      <c r="B72" s="18"/>
      <c r="C72" s="18"/>
      <c r="D72" s="18"/>
      <c r="E72" s="3"/>
      <c r="F72" s="3"/>
      <c r="G72" s="3"/>
      <c r="H72" s="3"/>
      <c r="I72" s="3"/>
      <c r="J72" s="3"/>
      <c r="K72" s="3"/>
      <c r="L72" s="3"/>
      <c r="M72" s="4" t="str">
        <f t="shared" si="4"/>
      </c>
      <c r="N72" s="4" t="str">
        <f>IF(M72="","",IF(ISNUMBER(M72),IF(M72&lt;'Scoring Methodology'!$F$16,"Low",IF(M72&lt;'Scoring Methodology'!$F$17,"Moderate",IF(M72&lt;'Scoring Methodology'!$F$18,"High","Critical"))),"Invalid input"))</f>
      </c>
      <c r="O72" s="3"/>
      <c r="P72" s="3"/>
      <c r="Q72" s="3"/>
      <c r="R72" s="3"/>
      <c r="S72" s="3"/>
      <c r="T72" s="3"/>
      <c r="U72" s="3"/>
      <c r="V72" s="4" t="str">
        <f t="shared" si="5"/>
      </c>
      <c r="W72" s="4" t="str">
        <f>IF(V72="","",IF(ISNUMBER(V72),IF(V72&lt;'Scoring Methodology'!$F$16,"Low",IF(V72&lt;'Scoring Methodology'!$F$17,"Moderate",IF(V72&lt;'Scoring Methodology'!$F$18,"High","Critical"))),"Invalid input"))</f>
      </c>
      <c r="X72" s="3"/>
      <c r="Y72" s="4" t="n">
        <f>IF(E72="",0,IF(AND(OR(Dashboard!$L$7="All",Q72=Dashboard!$L$7),OR(Dashboard!$T$7="All",N72=Dashboard!$T$7)),1,0))</f>
        <v>0</v>
      </c>
    </row>
    <row r="73" spans="1:25" ht="26.1" customHeight="1">
      <c r="A73" s="18"/>
      <c r="B73" s="18"/>
      <c r="C73" s="18"/>
      <c r="D73" s="18"/>
      <c r="E73" s="3"/>
      <c r="F73" s="3"/>
      <c r="G73" s="3"/>
      <c r="H73" s="3"/>
      <c r="I73" s="3"/>
      <c r="J73" s="3"/>
      <c r="K73" s="3"/>
      <c r="L73" s="3"/>
      <c r="M73" s="4" t="str">
        <f t="shared" si="4"/>
      </c>
      <c r="N73" s="4" t="str">
        <f>IF(M73="","",IF(ISNUMBER(M73),IF(M73&lt;'Scoring Methodology'!$F$16,"Low",IF(M73&lt;'Scoring Methodology'!$F$17,"Moderate",IF(M73&lt;'Scoring Methodology'!$F$18,"High","Critical"))),"Invalid input"))</f>
      </c>
      <c r="O73" s="3"/>
      <c r="P73" s="3"/>
      <c r="Q73" s="3"/>
      <c r="R73" s="3"/>
      <c r="S73" s="3"/>
      <c r="T73" s="3"/>
      <c r="U73" s="3"/>
      <c r="V73" s="4" t="str">
        <f t="shared" si="5"/>
      </c>
      <c r="W73" s="4" t="str">
        <f>IF(V73="","",IF(ISNUMBER(V73),IF(V73&lt;'Scoring Methodology'!$F$16,"Low",IF(V73&lt;'Scoring Methodology'!$F$17,"Moderate",IF(V73&lt;'Scoring Methodology'!$F$18,"High","Critical"))),"Invalid input"))</f>
      </c>
      <c r="X73" s="3"/>
      <c r="Y73" s="4" t="n">
        <f>IF(E73="",0,IF(AND(OR(Dashboard!$L$7="All",Q73=Dashboard!$L$7),OR(Dashboard!$T$7="All",N73=Dashboard!$T$7)),1,0))</f>
        <v>0</v>
      </c>
    </row>
    <row r="74" spans="1:25" ht="26.1" customHeight="1">
      <c r="A74" s="18"/>
      <c r="B74" s="18"/>
      <c r="C74" s="18"/>
      <c r="D74" s="18"/>
      <c r="E74" s="3"/>
      <c r="F74" s="3"/>
      <c r="G74" s="3"/>
      <c r="H74" s="3"/>
      <c r="I74" s="3"/>
      <c r="J74" s="3"/>
      <c r="K74" s="3"/>
      <c r="L74" s="3"/>
      <c r="M74" s="4" t="str">
        <f t="shared" si="4"/>
      </c>
      <c r="N74" s="4" t="str">
        <f>IF(M74="","",IF(ISNUMBER(M74),IF(M74&lt;'Scoring Methodology'!$F$16,"Low",IF(M74&lt;'Scoring Methodology'!$F$17,"Moderate",IF(M74&lt;'Scoring Methodology'!$F$18,"High","Critical"))),"Invalid input"))</f>
      </c>
      <c r="O74" s="3"/>
      <c r="P74" s="3"/>
      <c r="Q74" s="3"/>
      <c r="R74" s="3"/>
      <c r="S74" s="3"/>
      <c r="T74" s="3"/>
      <c r="U74" s="3"/>
      <c r="V74" s="4" t="str">
        <f t="shared" si="5"/>
      </c>
      <c r="W74" s="4" t="str">
        <f>IF(V74="","",IF(ISNUMBER(V74),IF(V74&lt;'Scoring Methodology'!$F$16,"Low",IF(V74&lt;'Scoring Methodology'!$F$17,"Moderate",IF(V74&lt;'Scoring Methodology'!$F$18,"High","Critical"))),"Invalid input"))</f>
      </c>
      <c r="X74" s="3"/>
      <c r="Y74" s="4" t="n">
        <f>IF(E74="",0,IF(AND(OR(Dashboard!$L$7="All",Q74=Dashboard!$L$7),OR(Dashboard!$T$7="All",N74=Dashboard!$T$7)),1,0))</f>
        <v>0</v>
      </c>
    </row>
    <row r="75" spans="1:25" ht="26.1" customHeight="1">
      <c r="A75" s="18"/>
      <c r="B75" s="18"/>
      <c r="C75" s="18"/>
      <c r="D75" s="18"/>
      <c r="E75" s="3"/>
      <c r="F75" s="3"/>
      <c r="G75" s="3"/>
      <c r="H75" s="3"/>
      <c r="I75" s="3"/>
      <c r="J75" s="3"/>
      <c r="K75" s="3"/>
      <c r="L75" s="3"/>
      <c r="M75" s="4" t="str">
        <f t="shared" si="4"/>
      </c>
      <c r="N75" s="4" t="str">
        <f>IF(M75="","",IF(ISNUMBER(M75),IF(M75&lt;'Scoring Methodology'!$F$16,"Low",IF(M75&lt;'Scoring Methodology'!$F$17,"Moderate",IF(M75&lt;'Scoring Methodology'!$F$18,"High","Critical"))),"Invalid input"))</f>
      </c>
      <c r="O75" s="3"/>
      <c r="P75" s="3"/>
      <c r="Q75" s="3"/>
      <c r="R75" s="3"/>
      <c r="S75" s="3"/>
      <c r="T75" s="3"/>
      <c r="U75" s="3"/>
      <c r="V75" s="4" t="str">
        <f t="shared" si="5"/>
      </c>
      <c r="W75" s="4" t="str">
        <f>IF(V75="","",IF(ISNUMBER(V75),IF(V75&lt;'Scoring Methodology'!$F$16,"Low",IF(V75&lt;'Scoring Methodology'!$F$17,"Moderate",IF(V75&lt;'Scoring Methodology'!$F$18,"High","Critical"))),"Invalid input"))</f>
      </c>
      <c r="X75" s="3"/>
      <c r="Y75" s="4" t="n">
        <f>IF(E75="",0,IF(AND(OR(Dashboard!$L$7="All",Q75=Dashboard!$L$7),OR(Dashboard!$T$7="All",N75=Dashboard!$T$7)),1,0))</f>
        <v>0</v>
      </c>
    </row>
    <row r="76" spans="1:25" ht="26.1" customHeight="1">
      <c r="A76" s="18"/>
      <c r="B76" s="18"/>
      <c r="C76" s="18"/>
      <c r="D76" s="18"/>
      <c r="E76" s="3"/>
      <c r="F76" s="3"/>
      <c r="G76" s="3"/>
      <c r="H76" s="3"/>
      <c r="I76" s="3"/>
      <c r="J76" s="3"/>
      <c r="K76" s="3"/>
      <c r="L76" s="3"/>
      <c r="M76" s="4" t="str">
        <f t="shared" si="4"/>
      </c>
      <c r="N76" s="4" t="str">
        <f>IF(M76="","",IF(ISNUMBER(M76),IF(M76&lt;'Scoring Methodology'!$F$16,"Low",IF(M76&lt;'Scoring Methodology'!$F$17,"Moderate",IF(M76&lt;'Scoring Methodology'!$F$18,"High","Critical"))),"Invalid input"))</f>
      </c>
      <c r="O76" s="3"/>
      <c r="P76" s="3"/>
      <c r="Q76" s="3"/>
      <c r="R76" s="3"/>
      <c r="S76" s="3"/>
      <c r="T76" s="3"/>
      <c r="U76" s="3"/>
      <c r="V76" s="4" t="str">
        <f t="shared" si="5"/>
      </c>
      <c r="W76" s="4" t="str">
        <f>IF(V76="","",IF(ISNUMBER(V76),IF(V76&lt;'Scoring Methodology'!$F$16,"Low",IF(V76&lt;'Scoring Methodology'!$F$17,"Moderate",IF(V76&lt;'Scoring Methodology'!$F$18,"High","Critical"))),"Invalid input"))</f>
      </c>
      <c r="X76" s="3"/>
      <c r="Y76" s="4" t="n">
        <f>IF(E76="",0,IF(AND(OR(Dashboard!$L$7="All",Q76=Dashboard!$L$7),OR(Dashboard!$T$7="All",N76=Dashboard!$T$7)),1,0))</f>
        <v>0</v>
      </c>
    </row>
    <row r="77" spans="1:25" ht="26.1" customHeight="1">
      <c r="A77" s="18"/>
      <c r="B77" s="18"/>
      <c r="C77" s="18"/>
      <c r="D77" s="18"/>
      <c r="E77" s="3"/>
      <c r="F77" s="3"/>
      <c r="G77" s="3"/>
      <c r="H77" s="3"/>
      <c r="I77" s="3"/>
      <c r="J77" s="3"/>
      <c r="K77" s="3"/>
      <c r="L77" s="3"/>
      <c r="M77" s="4" t="str">
        <f t="shared" si="4"/>
      </c>
      <c r="N77" s="4" t="str">
        <f>IF(M77="","",IF(ISNUMBER(M77),IF(M77&lt;'Scoring Methodology'!$F$16,"Low",IF(M77&lt;'Scoring Methodology'!$F$17,"Moderate",IF(M77&lt;'Scoring Methodology'!$F$18,"High","Critical"))),"Invalid input"))</f>
      </c>
      <c r="O77" s="3"/>
      <c r="P77" s="3"/>
      <c r="Q77" s="3"/>
      <c r="R77" s="3"/>
      <c r="S77" s="3"/>
      <c r="T77" s="3"/>
      <c r="U77" s="3"/>
      <c r="V77" s="4" t="str">
        <f t="shared" si="5"/>
      </c>
      <c r="W77" s="4" t="str">
        <f>IF(V77="","",IF(ISNUMBER(V77),IF(V77&lt;'Scoring Methodology'!$F$16,"Low",IF(V77&lt;'Scoring Methodology'!$F$17,"Moderate",IF(V77&lt;'Scoring Methodology'!$F$18,"High","Critical"))),"Invalid input"))</f>
      </c>
      <c r="X77" s="3"/>
      <c r="Y77" s="4" t="n">
        <f>IF(E77="",0,IF(AND(OR(Dashboard!$L$7="All",Q77=Dashboard!$L$7),OR(Dashboard!$T$7="All",N77=Dashboard!$T$7)),1,0))</f>
        <v>0</v>
      </c>
    </row>
    <row r="78" spans="1:25" ht="26.1" customHeight="1">
      <c r="A78" s="18"/>
      <c r="B78" s="18"/>
      <c r="C78" s="18"/>
      <c r="D78" s="18"/>
      <c r="E78" s="3"/>
      <c r="F78" s="3"/>
      <c r="G78" s="3"/>
      <c r="H78" s="3"/>
      <c r="I78" s="3"/>
      <c r="J78" s="3"/>
      <c r="K78" s="3"/>
      <c r="L78" s="3"/>
      <c r="M78" s="4" t="str">
        <f t="shared" si="4"/>
      </c>
      <c r="N78" s="4" t="str">
        <f>IF(M78="","",IF(ISNUMBER(M78),IF(M78&lt;'Scoring Methodology'!$F$16,"Low",IF(M78&lt;'Scoring Methodology'!$F$17,"Moderate",IF(M78&lt;'Scoring Methodology'!$F$18,"High","Critical"))),"Invalid input"))</f>
      </c>
      <c r="O78" s="3"/>
      <c r="P78" s="3"/>
      <c r="Q78" s="3"/>
      <c r="R78" s="3"/>
      <c r="S78" s="3"/>
      <c r="T78" s="3"/>
      <c r="U78" s="3"/>
      <c r="V78" s="4" t="str">
        <f t="shared" si="5"/>
      </c>
      <c r="W78" s="4" t="str">
        <f>IF(V78="","",IF(ISNUMBER(V78),IF(V78&lt;'Scoring Methodology'!$F$16,"Low",IF(V78&lt;'Scoring Methodology'!$F$17,"Moderate",IF(V78&lt;'Scoring Methodology'!$F$18,"High","Critical"))),"Invalid input"))</f>
      </c>
      <c r="X78" s="3"/>
      <c r="Y78" s="4" t="n">
        <f>IF(E78="",0,IF(AND(OR(Dashboard!$L$7="All",Q78=Dashboard!$L$7),OR(Dashboard!$T$7="All",N78=Dashboard!$T$7)),1,0))</f>
        <v>0</v>
      </c>
    </row>
    <row r="79" spans="1:25" ht="26.1" customHeight="1">
      <c r="A79" s="18"/>
      <c r="B79" s="18"/>
      <c r="C79" s="18"/>
      <c r="D79" s="18"/>
      <c r="E79" s="3"/>
      <c r="F79" s="3"/>
      <c r="G79" s="3"/>
      <c r="H79" s="3"/>
      <c r="I79" s="3"/>
      <c r="J79" s="3"/>
      <c r="K79" s="3"/>
      <c r="L79" s="3"/>
      <c r="M79" s="4" t="str">
        <f t="shared" si="4"/>
      </c>
      <c r="N79" s="4" t="str">
        <f>IF(M79="","",IF(ISNUMBER(M79),IF(M79&lt;'Scoring Methodology'!$F$16,"Low",IF(M79&lt;'Scoring Methodology'!$F$17,"Moderate",IF(M79&lt;'Scoring Methodology'!$F$18,"High","Critical"))),"Invalid input"))</f>
      </c>
      <c r="O79" s="3"/>
      <c r="P79" s="3"/>
      <c r="Q79" s="3"/>
      <c r="R79" s="3"/>
      <c r="S79" s="3"/>
      <c r="T79" s="3"/>
      <c r="U79" s="3"/>
      <c r="V79" s="4" t="str">
        <f t="shared" si="5"/>
      </c>
      <c r="W79" s="4" t="str">
        <f>IF(V79="","",IF(ISNUMBER(V79),IF(V79&lt;'Scoring Methodology'!$F$16,"Low",IF(V79&lt;'Scoring Methodology'!$F$17,"Moderate",IF(V79&lt;'Scoring Methodology'!$F$18,"High","Critical"))),"Invalid input"))</f>
      </c>
      <c r="X79" s="3"/>
      <c r="Y79" s="4" t="n">
        <f>IF(E79="",0,IF(AND(OR(Dashboard!$L$7="All",Q79=Dashboard!$L$7),OR(Dashboard!$T$7="All",N79=Dashboard!$T$7)),1,0))</f>
        <v>0</v>
      </c>
    </row>
    <row r="80" spans="1:25" ht="26.1" customHeight="1">
      <c r="A80" s="18"/>
      <c r="B80" s="18"/>
      <c r="C80" s="18"/>
      <c r="D80" s="18"/>
      <c r="E80" s="3"/>
      <c r="F80" s="3"/>
      <c r="G80" s="3"/>
      <c r="H80" s="3"/>
      <c r="I80" s="3"/>
      <c r="J80" s="3"/>
      <c r="K80" s="3"/>
      <c r="L80" s="3"/>
      <c r="M80" s="4" t="str">
        <f t="shared" si="4"/>
      </c>
      <c r="N80" s="4" t="str">
        <f>IF(M80="","",IF(ISNUMBER(M80),IF(M80&lt;'Scoring Methodology'!$F$16,"Low",IF(M80&lt;'Scoring Methodology'!$F$17,"Moderate",IF(M80&lt;'Scoring Methodology'!$F$18,"High","Critical"))),"Invalid input"))</f>
      </c>
      <c r="O80" s="3"/>
      <c r="P80" s="3"/>
      <c r="Q80" s="3"/>
      <c r="R80" s="3"/>
      <c r="S80" s="3"/>
      <c r="T80" s="3"/>
      <c r="U80" s="3"/>
      <c r="V80" s="4" t="str">
        <f t="shared" si="5"/>
      </c>
      <c r="W80" s="4" t="str">
        <f>IF(V80="","",IF(ISNUMBER(V80),IF(V80&lt;'Scoring Methodology'!$F$16,"Low",IF(V80&lt;'Scoring Methodology'!$F$17,"Moderate",IF(V80&lt;'Scoring Methodology'!$F$18,"High","Critical"))),"Invalid input"))</f>
      </c>
      <c r="X80" s="3"/>
      <c r="Y80" s="4" t="n">
        <f>IF(E80="",0,IF(AND(OR(Dashboard!$L$7="All",Q80=Dashboard!$L$7),OR(Dashboard!$T$7="All",N80=Dashboard!$T$7)),1,0))</f>
        <v>0</v>
      </c>
    </row>
    <row r="81" spans="1:25" ht="26.1" customHeight="1">
      <c r="A81" s="18"/>
      <c r="B81" s="18"/>
      <c r="C81" s="18"/>
      <c r="D81" s="18"/>
      <c r="E81" s="3"/>
      <c r="F81" s="3"/>
      <c r="G81" s="3"/>
      <c r="H81" s="3"/>
      <c r="I81" s="3"/>
      <c r="J81" s="3"/>
      <c r="K81" s="3"/>
      <c r="L81" s="3"/>
      <c r="M81" s="4" t="str">
        <f t="shared" si="4"/>
      </c>
      <c r="N81" s="4" t="str">
        <f>IF(M81="","",IF(ISNUMBER(M81),IF(M81&lt;'Scoring Methodology'!$F$16,"Low",IF(M81&lt;'Scoring Methodology'!$F$17,"Moderate",IF(M81&lt;'Scoring Methodology'!$F$18,"High","Critical"))),"Invalid input"))</f>
      </c>
      <c r="O81" s="3"/>
      <c r="P81" s="3"/>
      <c r="Q81" s="3"/>
      <c r="R81" s="3"/>
      <c r="S81" s="3"/>
      <c r="T81" s="3"/>
      <c r="U81" s="3"/>
      <c r="V81" s="4" t="str">
        <f t="shared" si="5"/>
      </c>
      <c r="W81" s="4" t="str">
        <f>IF(V81="","",IF(ISNUMBER(V81),IF(V81&lt;'Scoring Methodology'!$F$16,"Low",IF(V81&lt;'Scoring Methodology'!$F$17,"Moderate",IF(V81&lt;'Scoring Methodology'!$F$18,"High","Critical"))),"Invalid input"))</f>
      </c>
      <c r="X81" s="3"/>
      <c r="Y81" s="4" t="n">
        <f>IF(E81="",0,IF(AND(OR(Dashboard!$L$7="All",Q81=Dashboard!$L$7),OR(Dashboard!$T$7="All",N81=Dashboard!$T$7)),1,0))</f>
        <v>0</v>
      </c>
    </row>
    <row r="82" spans="1:25" ht="26.1" customHeight="1">
      <c r="A82" s="18"/>
      <c r="B82" s="18"/>
      <c r="C82" s="18"/>
      <c r="D82" s="18"/>
      <c r="E82" s="3"/>
      <c r="F82" s="3"/>
      <c r="G82" s="3"/>
      <c r="H82" s="3"/>
      <c r="I82" s="3"/>
      <c r="J82" s="3"/>
      <c r="K82" s="3"/>
      <c r="L82" s="3"/>
      <c r="M82" s="4" t="str">
        <f t="shared" si="4"/>
      </c>
      <c r="N82" s="4" t="str">
        <f>IF(M82="","",IF(ISNUMBER(M82),IF(M82&lt;'Scoring Methodology'!$F$16,"Low",IF(M82&lt;'Scoring Methodology'!$F$17,"Moderate",IF(M82&lt;'Scoring Methodology'!$F$18,"High","Critical"))),"Invalid input"))</f>
      </c>
      <c r="O82" s="3"/>
      <c r="P82" s="3"/>
      <c r="Q82" s="3"/>
      <c r="R82" s="3"/>
      <c r="S82" s="3"/>
      <c r="T82" s="3"/>
      <c r="U82" s="3"/>
      <c r="V82" s="4" t="str">
        <f t="shared" si="5"/>
      </c>
      <c r="W82" s="4" t="str">
        <f>IF(V82="","",IF(ISNUMBER(V82),IF(V82&lt;'Scoring Methodology'!$F$16,"Low",IF(V82&lt;'Scoring Methodology'!$F$17,"Moderate",IF(V82&lt;'Scoring Methodology'!$F$18,"High","Critical"))),"Invalid input"))</f>
      </c>
      <c r="X82" s="3"/>
      <c r="Y82" s="4" t="n">
        <f>IF(E82="",0,IF(AND(OR(Dashboard!$L$7="All",Q82=Dashboard!$L$7),OR(Dashboard!$T$7="All",N82=Dashboard!$T$7)),1,0))</f>
        <v>0</v>
      </c>
    </row>
    <row r="83" spans="1:25" ht="26.1" customHeight="1">
      <c r="A83" s="18"/>
      <c r="B83" s="18"/>
      <c r="C83" s="18"/>
      <c r="D83" s="18"/>
      <c r="E83" s="3"/>
      <c r="F83" s="3"/>
      <c r="G83" s="3"/>
      <c r="H83" s="3"/>
      <c r="I83" s="3"/>
      <c r="J83" s="3"/>
      <c r="K83" s="3"/>
      <c r="L83" s="3"/>
      <c r="M83" s="4" t="str">
        <f t="shared" si="4"/>
      </c>
      <c r="N83" s="4" t="str">
        <f>IF(M83="","",IF(ISNUMBER(M83),IF(M83&lt;'Scoring Methodology'!$F$16,"Low",IF(M83&lt;'Scoring Methodology'!$F$17,"Moderate",IF(M83&lt;'Scoring Methodology'!$F$18,"High","Critical"))),"Invalid input"))</f>
      </c>
      <c r="O83" s="3"/>
      <c r="P83" s="3"/>
      <c r="Q83" s="3"/>
      <c r="R83" s="3"/>
      <c r="S83" s="3"/>
      <c r="T83" s="3"/>
      <c r="U83" s="3"/>
      <c r="V83" s="4" t="str">
        <f t="shared" si="5"/>
      </c>
      <c r="W83" s="4" t="str">
        <f>IF(V83="","",IF(ISNUMBER(V83),IF(V83&lt;'Scoring Methodology'!$F$16,"Low",IF(V83&lt;'Scoring Methodology'!$F$17,"Moderate",IF(V83&lt;'Scoring Methodology'!$F$18,"High","Critical"))),"Invalid input"))</f>
      </c>
      <c r="X83" s="3"/>
      <c r="Y83" s="4" t="n">
        <f>IF(E83="",0,IF(AND(OR(Dashboard!$L$7="All",Q83=Dashboard!$L$7),OR(Dashboard!$T$7="All",N83=Dashboard!$T$7)),1,0))</f>
        <v>0</v>
      </c>
    </row>
    <row r="84" spans="1:25" ht="26.1" customHeight="1">
      <c r="A84" s="18"/>
      <c r="B84" s="18"/>
      <c r="C84" s="18"/>
      <c r="D84" s="18"/>
      <c r="E84" s="3"/>
      <c r="F84" s="3"/>
      <c r="G84" s="3"/>
      <c r="H84" s="3"/>
      <c r="I84" s="3"/>
      <c r="J84" s="3"/>
      <c r="K84" s="3"/>
      <c r="L84" s="3"/>
      <c r="M84" s="4" t="str">
        <f t="shared" si="4"/>
      </c>
      <c r="N84" s="4" t="str">
        <f>IF(M84="","",IF(ISNUMBER(M84),IF(M84&lt;'Scoring Methodology'!$F$16,"Low",IF(M84&lt;'Scoring Methodology'!$F$17,"Moderate",IF(M84&lt;'Scoring Methodology'!$F$18,"High","Critical"))),"Invalid input"))</f>
      </c>
      <c r="O84" s="3"/>
      <c r="P84" s="3"/>
      <c r="Q84" s="3"/>
      <c r="R84" s="3"/>
      <c r="S84" s="3"/>
      <c r="T84" s="3"/>
      <c r="U84" s="3"/>
      <c r="V84" s="4" t="str">
        <f t="shared" si="5"/>
      </c>
      <c r="W84" s="4" t="str">
        <f>IF(V84="","",IF(ISNUMBER(V84),IF(V84&lt;'Scoring Methodology'!$F$16,"Low",IF(V84&lt;'Scoring Methodology'!$F$17,"Moderate",IF(V84&lt;'Scoring Methodology'!$F$18,"High","Critical"))),"Invalid input"))</f>
      </c>
      <c r="X84" s="3"/>
      <c r="Y84" s="4" t="n">
        <f>IF(E84="",0,IF(AND(OR(Dashboard!$L$7="All",Q84=Dashboard!$L$7),OR(Dashboard!$T$7="All",N84=Dashboard!$T$7)),1,0))</f>
        <v>0</v>
      </c>
    </row>
    <row r="85" spans="1:25" ht="26.1" customHeight="1">
      <c r="A85" s="18"/>
      <c r="B85" s="18"/>
      <c r="C85" s="18"/>
      <c r="D85" s="18"/>
      <c r="E85" s="3"/>
      <c r="F85" s="3"/>
      <c r="G85" s="3"/>
      <c r="H85" s="3"/>
      <c r="I85" s="3"/>
      <c r="J85" s="3"/>
      <c r="K85" s="3"/>
      <c r="L85" s="3"/>
      <c r="M85" s="4" t="str">
        <f t="shared" si="4"/>
      </c>
      <c r="N85" s="4" t="str">
        <f>IF(M85="","",IF(ISNUMBER(M85),IF(M85&lt;'Scoring Methodology'!$F$16,"Low",IF(M85&lt;'Scoring Methodology'!$F$17,"Moderate",IF(M85&lt;'Scoring Methodology'!$F$18,"High","Critical"))),"Invalid input"))</f>
      </c>
      <c r="O85" s="3"/>
      <c r="P85" s="3"/>
      <c r="Q85" s="3"/>
      <c r="R85" s="3"/>
      <c r="S85" s="3"/>
      <c r="T85" s="3"/>
      <c r="U85" s="3"/>
      <c r="V85" s="4" t="str">
        <f t="shared" si="5"/>
      </c>
      <c r="W85" s="4" t="str">
        <f>IF(V85="","",IF(ISNUMBER(V85),IF(V85&lt;'Scoring Methodology'!$F$16,"Low",IF(V85&lt;'Scoring Methodology'!$F$17,"Moderate",IF(V85&lt;'Scoring Methodology'!$F$18,"High","Critical"))),"Invalid input"))</f>
      </c>
      <c r="X85" s="3"/>
      <c r="Y85" s="4" t="n">
        <f>IF(E85="",0,IF(AND(OR(Dashboard!$L$7="All",Q85=Dashboard!$L$7),OR(Dashboard!$T$7="All",N85=Dashboard!$T$7)),1,0))</f>
        <v>0</v>
      </c>
    </row>
    <row r="86" spans="1:25" ht="26.1" customHeight="1">
      <c r="A86" s="18"/>
      <c r="B86" s="18"/>
      <c r="C86" s="18"/>
      <c r="D86" s="18"/>
      <c r="E86" s="3"/>
      <c r="F86" s="3"/>
      <c r="G86" s="3"/>
      <c r="H86" s="3"/>
      <c r="I86" s="3"/>
      <c r="J86" s="3"/>
      <c r="K86" s="3"/>
      <c r="L86" s="3"/>
      <c r="M86" s="4" t="str">
        <f t="shared" si="4"/>
      </c>
      <c r="N86" s="4" t="str">
        <f>IF(M86="","",IF(ISNUMBER(M86),IF(M86&lt;'Scoring Methodology'!$F$16,"Low",IF(M86&lt;'Scoring Methodology'!$F$17,"Moderate",IF(M86&lt;'Scoring Methodology'!$F$18,"High","Critical"))),"Invalid input"))</f>
      </c>
      <c r="O86" s="3"/>
      <c r="P86" s="3"/>
      <c r="Q86" s="3"/>
      <c r="R86" s="3"/>
      <c r="S86" s="3"/>
      <c r="T86" s="3"/>
      <c r="U86" s="3"/>
      <c r="V86" s="4" t="str">
        <f t="shared" si="5"/>
      </c>
      <c r="W86" s="4" t="str">
        <f>IF(V86="","",IF(ISNUMBER(V86),IF(V86&lt;'Scoring Methodology'!$F$16,"Low",IF(V86&lt;'Scoring Methodology'!$F$17,"Moderate",IF(V86&lt;'Scoring Methodology'!$F$18,"High","Critical"))),"Invalid input"))</f>
      </c>
      <c r="X86" s="3"/>
      <c r="Y86" s="4" t="n">
        <f>IF(E86="",0,IF(AND(OR(Dashboard!$L$7="All",Q86=Dashboard!$L$7),OR(Dashboard!$T$7="All",N86=Dashboard!$T$7)),1,0))</f>
        <v>0</v>
      </c>
    </row>
    <row r="87" spans="1:25" ht="26.1" customHeight="1">
      <c r="A87" s="18"/>
      <c r="B87" s="18"/>
      <c r="C87" s="18"/>
      <c r="D87" s="18"/>
      <c r="E87" s="3"/>
      <c r="F87" s="3"/>
      <c r="G87" s="3"/>
      <c r="H87" s="3"/>
      <c r="I87" s="3"/>
      <c r="J87" s="3"/>
      <c r="K87" s="3"/>
      <c r="L87" s="3"/>
      <c r="M87" s="4" t="str">
        <f t="shared" si="4"/>
      </c>
      <c r="N87" s="4" t="str">
        <f>IF(M87="","",IF(ISNUMBER(M87),IF(M87&lt;'Scoring Methodology'!$F$16,"Low",IF(M87&lt;'Scoring Methodology'!$F$17,"Moderate",IF(M87&lt;'Scoring Methodology'!$F$18,"High","Critical"))),"Invalid input"))</f>
      </c>
      <c r="O87" s="3"/>
      <c r="P87" s="3"/>
      <c r="Q87" s="3"/>
      <c r="R87" s="3"/>
      <c r="S87" s="3"/>
      <c r="T87" s="3"/>
      <c r="U87" s="3"/>
      <c r="V87" s="4" t="str">
        <f t="shared" si="5"/>
      </c>
      <c r="W87" s="4" t="str">
        <f>IF(V87="","",IF(ISNUMBER(V87),IF(V87&lt;'Scoring Methodology'!$F$16,"Low",IF(V87&lt;'Scoring Methodology'!$F$17,"Moderate",IF(V87&lt;'Scoring Methodology'!$F$18,"High","Critical"))),"Invalid input"))</f>
      </c>
      <c r="X87" s="3"/>
      <c r="Y87" s="4" t="n">
        <f>IF(E87="",0,IF(AND(OR(Dashboard!$L$7="All",Q87=Dashboard!$L$7),OR(Dashboard!$T$7="All",N87=Dashboard!$T$7)),1,0))</f>
        <v>0</v>
      </c>
    </row>
    <row r="88" spans="1:25" ht="26.1" customHeight="1">
      <c r="A88" s="18"/>
      <c r="B88" s="18"/>
      <c r="C88" s="18"/>
      <c r="D88" s="18"/>
      <c r="E88" s="3"/>
      <c r="F88" s="3"/>
      <c r="G88" s="3"/>
      <c r="H88" s="3"/>
      <c r="I88" s="3"/>
      <c r="J88" s="3"/>
      <c r="K88" s="3"/>
      <c r="L88" s="3"/>
      <c r="M88" s="4" t="str">
        <f t="shared" si="4"/>
      </c>
      <c r="N88" s="4" t="str">
        <f>IF(M88="","",IF(ISNUMBER(M88),IF(M88&lt;'Scoring Methodology'!$F$16,"Low",IF(M88&lt;'Scoring Methodology'!$F$17,"Moderate",IF(M88&lt;'Scoring Methodology'!$F$18,"High","Critical"))),"Invalid input"))</f>
      </c>
      <c r="O88" s="3"/>
      <c r="P88" s="3"/>
      <c r="Q88" s="3"/>
      <c r="R88" s="3"/>
      <c r="S88" s="3"/>
      <c r="T88" s="3"/>
      <c r="U88" s="3"/>
      <c r="V88" s="4" t="str">
        <f t="shared" si="5"/>
      </c>
      <c r="W88" s="4" t="str">
        <f>IF(V88="","",IF(ISNUMBER(V88),IF(V88&lt;'Scoring Methodology'!$F$16,"Low",IF(V88&lt;'Scoring Methodology'!$F$17,"Moderate",IF(V88&lt;'Scoring Methodology'!$F$18,"High","Critical"))),"Invalid input"))</f>
      </c>
      <c r="X88" s="3"/>
      <c r="Y88" s="4" t="n">
        <f>IF(E88="",0,IF(AND(OR(Dashboard!$L$7="All",Q88=Dashboard!$L$7),OR(Dashboard!$T$7="All",N88=Dashboard!$T$7)),1,0))</f>
        <v>0</v>
      </c>
    </row>
    <row r="89" spans="1:25" ht="26.1" customHeight="1">
      <c r="A89" s="18"/>
      <c r="B89" s="18"/>
      <c r="C89" s="18"/>
      <c r="D89" s="18"/>
      <c r="E89" s="3"/>
      <c r="F89" s="3"/>
      <c r="G89" s="3"/>
      <c r="H89" s="3"/>
      <c r="I89" s="3"/>
      <c r="J89" s="3"/>
      <c r="K89" s="3"/>
      <c r="L89" s="3"/>
      <c r="M89" s="4" t="str">
        <f t="shared" si="4"/>
      </c>
      <c r="N89" s="4" t="str">
        <f>IF(M89="","",IF(ISNUMBER(M89),IF(M89&lt;'Scoring Methodology'!$F$16,"Low",IF(M89&lt;'Scoring Methodology'!$F$17,"Moderate",IF(M89&lt;'Scoring Methodology'!$F$18,"High","Critical"))),"Invalid input"))</f>
      </c>
      <c r="O89" s="3"/>
      <c r="P89" s="3"/>
      <c r="Q89" s="3"/>
      <c r="R89" s="3"/>
      <c r="S89" s="3"/>
      <c r="T89" s="3"/>
      <c r="U89" s="3"/>
      <c r="V89" s="4" t="str">
        <f t="shared" si="5"/>
      </c>
      <c r="W89" s="4" t="str">
        <f>IF(V89="","",IF(ISNUMBER(V89),IF(V89&lt;'Scoring Methodology'!$F$16,"Low",IF(V89&lt;'Scoring Methodology'!$F$17,"Moderate",IF(V89&lt;'Scoring Methodology'!$F$18,"High","Critical"))),"Invalid input"))</f>
      </c>
      <c r="X89" s="3"/>
      <c r="Y89" s="4" t="n">
        <f>IF(E89="",0,IF(AND(OR(Dashboard!$L$7="All",Q89=Dashboard!$L$7),OR(Dashboard!$T$7="All",N89=Dashboard!$T$7)),1,0))</f>
        <v>0</v>
      </c>
    </row>
    <row r="90" spans="1:25" ht="26.1" customHeight="1">
      <c r="A90" s="18"/>
      <c r="B90" s="18"/>
      <c r="C90" s="18"/>
      <c r="D90" s="18"/>
      <c r="E90" s="3"/>
      <c r="F90" s="3"/>
      <c r="G90" s="3"/>
      <c r="H90" s="3"/>
      <c r="I90" s="3"/>
      <c r="J90" s="3"/>
      <c r="K90" s="3"/>
      <c r="L90" s="3"/>
      <c r="M90" s="4" t="str">
        <f t="shared" si="4"/>
      </c>
      <c r="N90" s="4" t="str">
        <f>IF(M90="","",IF(ISNUMBER(M90),IF(M90&lt;'Scoring Methodology'!$F$16,"Low",IF(M90&lt;'Scoring Methodology'!$F$17,"Moderate",IF(M90&lt;'Scoring Methodology'!$F$18,"High","Critical"))),"Invalid input"))</f>
      </c>
      <c r="O90" s="3"/>
      <c r="P90" s="3"/>
      <c r="Q90" s="3"/>
      <c r="R90" s="3"/>
      <c r="S90" s="3"/>
      <c r="T90" s="3"/>
      <c r="U90" s="3"/>
      <c r="V90" s="4" t="str">
        <f t="shared" si="5"/>
      </c>
      <c r="W90" s="4" t="str">
        <f>IF(V90="","",IF(ISNUMBER(V90),IF(V90&lt;'Scoring Methodology'!$F$16,"Low",IF(V90&lt;'Scoring Methodology'!$F$17,"Moderate",IF(V90&lt;'Scoring Methodology'!$F$18,"High","Critical"))),"Invalid input"))</f>
      </c>
      <c r="X90" s="3"/>
      <c r="Y90" s="4" t="n">
        <f>IF(E90="",0,IF(AND(OR(Dashboard!$L$7="All",Q90=Dashboard!$L$7),OR(Dashboard!$T$7="All",N90=Dashboard!$T$7)),1,0))</f>
        <v>0</v>
      </c>
    </row>
    <row r="91" spans="1:25" ht="26.1" customHeight="1">
      <c r="A91" s="18"/>
      <c r="B91" s="18"/>
      <c r="C91" s="18"/>
      <c r="D91" s="18"/>
      <c r="E91" s="3"/>
      <c r="F91" s="3"/>
      <c r="G91" s="3"/>
      <c r="H91" s="3"/>
      <c r="I91" s="3"/>
      <c r="J91" s="3"/>
      <c r="K91" s="3"/>
      <c r="L91" s="3"/>
      <c r="M91" s="4" t="str">
        <f t="shared" si="4"/>
      </c>
      <c r="N91" s="4" t="str">
        <f>IF(M91="","",IF(ISNUMBER(M91),IF(M91&lt;'Scoring Methodology'!$F$16,"Low",IF(M91&lt;'Scoring Methodology'!$F$17,"Moderate",IF(M91&lt;'Scoring Methodology'!$F$18,"High","Critical"))),"Invalid input"))</f>
      </c>
      <c r="O91" s="3"/>
      <c r="P91" s="3"/>
      <c r="Q91" s="3"/>
      <c r="R91" s="3"/>
      <c r="S91" s="3"/>
      <c r="T91" s="3"/>
      <c r="U91" s="3"/>
      <c r="V91" s="4" t="str">
        <f t="shared" si="5"/>
      </c>
      <c r="W91" s="4" t="str">
        <f>IF(V91="","",IF(ISNUMBER(V91),IF(V91&lt;'Scoring Methodology'!$F$16,"Low",IF(V91&lt;'Scoring Methodology'!$F$17,"Moderate",IF(V91&lt;'Scoring Methodology'!$F$18,"High","Critical"))),"Invalid input"))</f>
      </c>
      <c r="X91" s="3"/>
      <c r="Y91" s="4" t="n">
        <f>IF(E91="",0,IF(AND(OR(Dashboard!$L$7="All",Q91=Dashboard!$L$7),OR(Dashboard!$T$7="All",N91=Dashboard!$T$7)),1,0))</f>
        <v>0</v>
      </c>
    </row>
    <row r="92" spans="1:25" ht="26.1" customHeight="1">
      <c r="A92" s="18"/>
      <c r="B92" s="18"/>
      <c r="C92" s="18"/>
      <c r="D92" s="18"/>
      <c r="E92" s="3"/>
      <c r="F92" s="3"/>
      <c r="G92" s="3"/>
      <c r="H92" s="3"/>
      <c r="I92" s="3"/>
      <c r="J92" s="3"/>
      <c r="K92" s="3"/>
      <c r="L92" s="3"/>
      <c r="M92" s="4" t="str">
        <f t="shared" si="4"/>
      </c>
      <c r="N92" s="4" t="str">
        <f>IF(M92="","",IF(ISNUMBER(M92),IF(M92&lt;'Scoring Methodology'!$F$16,"Low",IF(M92&lt;'Scoring Methodology'!$F$17,"Moderate",IF(M92&lt;'Scoring Methodology'!$F$18,"High","Critical"))),"Invalid input"))</f>
      </c>
      <c r="O92" s="3"/>
      <c r="P92" s="3"/>
      <c r="Q92" s="3"/>
      <c r="R92" s="3"/>
      <c r="S92" s="3"/>
      <c r="T92" s="3"/>
      <c r="U92" s="3"/>
      <c r="V92" s="4" t="str">
        <f t="shared" si="5"/>
      </c>
      <c r="W92" s="4" t="str">
        <f>IF(V92="","",IF(ISNUMBER(V92),IF(V92&lt;'Scoring Methodology'!$F$16,"Low",IF(V92&lt;'Scoring Methodology'!$F$17,"Moderate",IF(V92&lt;'Scoring Methodology'!$F$18,"High","Critical"))),"Invalid input"))</f>
      </c>
      <c r="X92" s="3"/>
      <c r="Y92" s="4" t="n">
        <f>IF(E92="",0,IF(AND(OR(Dashboard!$L$7="All",Q92=Dashboard!$L$7),OR(Dashboard!$T$7="All",N92=Dashboard!$T$7)),1,0))</f>
        <v>0</v>
      </c>
    </row>
    <row r="93" spans="1:25" ht="26.1" customHeight="1">
      <c r="A93" s="18"/>
      <c r="B93" s="18"/>
      <c r="C93" s="18"/>
      <c r="D93" s="18"/>
      <c r="E93" s="3"/>
      <c r="F93" s="3"/>
      <c r="G93" s="3"/>
      <c r="H93" s="3"/>
      <c r="I93" s="3"/>
      <c r="J93" s="3"/>
      <c r="K93" s="3"/>
      <c r="L93" s="3"/>
      <c r="M93" s="4" t="str">
        <f t="shared" si="4"/>
      </c>
      <c r="N93" s="4" t="str">
        <f>IF(M93="","",IF(ISNUMBER(M93),IF(M93&lt;'Scoring Methodology'!$F$16,"Low",IF(M93&lt;'Scoring Methodology'!$F$17,"Moderate",IF(M93&lt;'Scoring Methodology'!$F$18,"High","Critical"))),"Invalid input"))</f>
      </c>
      <c r="O93" s="3"/>
      <c r="P93" s="3"/>
      <c r="Q93" s="3"/>
      <c r="R93" s="3"/>
      <c r="S93" s="3"/>
      <c r="T93" s="3"/>
      <c r="U93" s="3"/>
      <c r="V93" s="4" t="str">
        <f t="shared" si="5"/>
      </c>
      <c r="W93" s="4" t="str">
        <f>IF(V93="","",IF(ISNUMBER(V93),IF(V93&lt;'Scoring Methodology'!$F$16,"Low",IF(V93&lt;'Scoring Methodology'!$F$17,"Moderate",IF(V93&lt;'Scoring Methodology'!$F$18,"High","Critical"))),"Invalid input"))</f>
      </c>
      <c r="X93" s="3"/>
      <c r="Y93" s="4" t="n">
        <f>IF(E93="",0,IF(AND(OR(Dashboard!$L$7="All",Q93=Dashboard!$L$7),OR(Dashboard!$T$7="All",N93=Dashboard!$T$7)),1,0))</f>
        <v>0</v>
      </c>
    </row>
    <row r="94" spans="1:25" ht="26.1" customHeight="1">
      <c r="A94" s="18"/>
      <c r="B94" s="18"/>
      <c r="C94" s="18"/>
      <c r="D94" s="18"/>
      <c r="E94" s="3"/>
      <c r="F94" s="3"/>
      <c r="G94" s="3"/>
      <c r="H94" s="3"/>
      <c r="I94" s="3"/>
      <c r="J94" s="3"/>
      <c r="K94" s="3"/>
      <c r="L94" s="3"/>
      <c r="M94" s="4" t="str">
        <f t="shared" si="4"/>
      </c>
      <c r="N94" s="4" t="str">
        <f>IF(M94="","",IF(ISNUMBER(M94),IF(M94&lt;'Scoring Methodology'!$F$16,"Low",IF(M94&lt;'Scoring Methodology'!$F$17,"Moderate",IF(M94&lt;'Scoring Methodology'!$F$18,"High","Critical"))),"Invalid input"))</f>
      </c>
      <c r="O94" s="3"/>
      <c r="P94" s="3"/>
      <c r="Q94" s="3"/>
      <c r="R94" s="3"/>
      <c r="S94" s="3"/>
      <c r="T94" s="3"/>
      <c r="U94" s="3"/>
      <c r="V94" s="4" t="str">
        <f t="shared" si="5"/>
      </c>
      <c r="W94" s="4" t="str">
        <f>IF(V94="","",IF(ISNUMBER(V94),IF(V94&lt;'Scoring Methodology'!$F$16,"Low",IF(V94&lt;'Scoring Methodology'!$F$17,"Moderate",IF(V94&lt;'Scoring Methodology'!$F$18,"High","Critical"))),"Invalid input"))</f>
      </c>
      <c r="X94" s="3"/>
      <c r="Y94" s="4" t="n">
        <f>IF(E94="",0,IF(AND(OR(Dashboard!$L$7="All",Q94=Dashboard!$L$7),OR(Dashboard!$T$7="All",N94=Dashboard!$T$7)),1,0))</f>
        <v>0</v>
      </c>
    </row>
    <row r="95" spans="1:25" ht="26.1" customHeight="1">
      <c r="A95" s="18"/>
      <c r="B95" s="18"/>
      <c r="C95" s="18"/>
      <c r="D95" s="18"/>
      <c r="E95" s="3"/>
      <c r="F95" s="3"/>
      <c r="G95" s="3"/>
      <c r="H95" s="3"/>
      <c r="I95" s="3"/>
      <c r="J95" s="3"/>
      <c r="K95" s="3"/>
      <c r="L95" s="3"/>
      <c r="M95" s="4" t="str">
        <f t="shared" si="4"/>
      </c>
      <c r="N95" s="4" t="str">
        <f>IF(M95="","",IF(ISNUMBER(M95),IF(M95&lt;'Scoring Methodology'!$F$16,"Low",IF(M95&lt;'Scoring Methodology'!$F$17,"Moderate",IF(M95&lt;'Scoring Methodology'!$F$18,"High","Critical"))),"Invalid input"))</f>
      </c>
      <c r="O95" s="3"/>
      <c r="P95" s="3"/>
      <c r="Q95" s="3"/>
      <c r="R95" s="3"/>
      <c r="S95" s="3"/>
      <c r="T95" s="3"/>
      <c r="U95" s="3"/>
      <c r="V95" s="4" t="str">
        <f t="shared" si="5"/>
      </c>
      <c r="W95" s="4" t="str">
        <f>IF(V95="","",IF(ISNUMBER(V95),IF(V95&lt;'Scoring Methodology'!$F$16,"Low",IF(V95&lt;'Scoring Methodology'!$F$17,"Moderate",IF(V95&lt;'Scoring Methodology'!$F$18,"High","Critical"))),"Invalid input"))</f>
      </c>
      <c r="X95" s="3"/>
      <c r="Y95" s="4" t="n">
        <f>IF(E95="",0,IF(AND(OR(Dashboard!$L$7="All",Q95=Dashboard!$L$7),OR(Dashboard!$T$7="All",N95=Dashboard!$T$7)),1,0))</f>
        <v>0</v>
      </c>
    </row>
    <row r="96" spans="1:25" ht="26.1" customHeight="1">
      <c r="A96" s="18"/>
      <c r="B96" s="18"/>
      <c r="C96" s="18"/>
      <c r="D96" s="18"/>
      <c r="E96" s="3"/>
      <c r="F96" s="3"/>
      <c r="G96" s="3"/>
      <c r="H96" s="3"/>
      <c r="I96" s="3"/>
      <c r="J96" s="3"/>
      <c r="K96" s="3"/>
      <c r="L96" s="3"/>
      <c r="M96" s="4" t="str">
        <f t="shared" si="4"/>
      </c>
      <c r="N96" s="4" t="str">
        <f>IF(M96="","",IF(ISNUMBER(M96),IF(M96&lt;'Scoring Methodology'!$F$16,"Low",IF(M96&lt;'Scoring Methodology'!$F$17,"Moderate",IF(M96&lt;'Scoring Methodology'!$F$18,"High","Critical"))),"Invalid input"))</f>
      </c>
      <c r="O96" s="3"/>
      <c r="P96" s="3"/>
      <c r="Q96" s="3"/>
      <c r="R96" s="3"/>
      <c r="S96" s="3"/>
      <c r="T96" s="3"/>
      <c r="U96" s="3"/>
      <c r="V96" s="4" t="str">
        <f t="shared" si="5"/>
      </c>
      <c r="W96" s="4" t="str">
        <f>IF(V96="","",IF(ISNUMBER(V96),IF(V96&lt;'Scoring Methodology'!$F$16,"Low",IF(V96&lt;'Scoring Methodology'!$F$17,"Moderate",IF(V96&lt;'Scoring Methodology'!$F$18,"High","Critical"))),"Invalid input"))</f>
      </c>
      <c r="X96" s="3"/>
      <c r="Y96" s="4" t="n">
        <f>IF(E96="",0,IF(AND(OR(Dashboard!$L$7="All",Q96=Dashboard!$L$7),OR(Dashboard!$T$7="All",N96=Dashboard!$T$7)),1,0))</f>
        <v>0</v>
      </c>
    </row>
    <row r="97" spans="1:25" ht="26.1" customHeight="1">
      <c r="A97" s="18"/>
      <c r="B97" s="18"/>
      <c r="C97" s="18"/>
      <c r="D97" s="18"/>
      <c r="E97" s="3"/>
      <c r="F97" s="3"/>
      <c r="G97" s="3"/>
      <c r="H97" s="3"/>
      <c r="I97" s="3"/>
      <c r="J97" s="3"/>
      <c r="K97" s="3"/>
      <c r="L97" s="3"/>
      <c r="M97" s="4" t="str">
        <f t="shared" si="4"/>
      </c>
      <c r="N97" s="4" t="str">
        <f>IF(M97="","",IF(ISNUMBER(M97),IF(M97&lt;'Scoring Methodology'!$F$16,"Low",IF(M97&lt;'Scoring Methodology'!$F$17,"Moderate",IF(M97&lt;'Scoring Methodology'!$F$18,"High","Critical"))),"Invalid input"))</f>
      </c>
      <c r="O97" s="3"/>
      <c r="P97" s="3"/>
      <c r="Q97" s="3"/>
      <c r="R97" s="3"/>
      <c r="S97" s="3"/>
      <c r="T97" s="3"/>
      <c r="U97" s="3"/>
      <c r="V97" s="4" t="str">
        <f t="shared" si="5"/>
      </c>
      <c r="W97" s="4" t="str">
        <f>IF(V97="","",IF(ISNUMBER(V97),IF(V97&lt;'Scoring Methodology'!$F$16,"Low",IF(V97&lt;'Scoring Methodology'!$F$17,"Moderate",IF(V97&lt;'Scoring Methodology'!$F$18,"High","Critical"))),"Invalid input"))</f>
      </c>
      <c r="X97" s="3"/>
      <c r="Y97" s="4" t="n">
        <f>IF(E97="",0,IF(AND(OR(Dashboard!$L$7="All",Q97=Dashboard!$L$7),OR(Dashboard!$T$7="All",N97=Dashboard!$T$7)),1,0))</f>
        <v>0</v>
      </c>
    </row>
    <row r="98" spans="1:25" ht="26.1" customHeight="1">
      <c r="A98" s="18"/>
      <c r="B98" s="18"/>
      <c r="C98" s="18"/>
      <c r="D98" s="18"/>
      <c r="E98" s="3"/>
      <c r="F98" s="3"/>
      <c r="G98" s="3"/>
      <c r="H98" s="3"/>
      <c r="I98" s="3"/>
      <c r="J98" s="3"/>
      <c r="K98" s="3"/>
      <c r="L98" s="3"/>
      <c r="M98" s="4" t="str">
        <f t="shared" si="4"/>
      </c>
      <c r="N98" s="4" t="str">
        <f>IF(M98="","",IF(ISNUMBER(M98),IF(M98&lt;'Scoring Methodology'!$F$16,"Low",IF(M98&lt;'Scoring Methodology'!$F$17,"Moderate",IF(M98&lt;'Scoring Methodology'!$F$18,"High","Critical"))),"Invalid input"))</f>
      </c>
      <c r="O98" s="3"/>
      <c r="P98" s="3"/>
      <c r="Q98" s="3"/>
      <c r="R98" s="3"/>
      <c r="S98" s="3"/>
      <c r="T98" s="3"/>
      <c r="U98" s="3"/>
      <c r="V98" s="4" t="str">
        <f t="shared" si="5"/>
      </c>
      <c r="W98" s="4" t="str">
        <f>IF(V98="","",IF(ISNUMBER(V98),IF(V98&lt;'Scoring Methodology'!$F$16,"Low",IF(V98&lt;'Scoring Methodology'!$F$17,"Moderate",IF(V98&lt;'Scoring Methodology'!$F$18,"High","Critical"))),"Invalid input"))</f>
      </c>
      <c r="X98" s="3"/>
      <c r="Y98" s="4" t="n">
        <f>IF(E98="",0,IF(AND(OR(Dashboard!$L$7="All",Q98=Dashboard!$L$7),OR(Dashboard!$T$7="All",N98=Dashboard!$T$7)),1,0))</f>
        <v>0</v>
      </c>
    </row>
    <row r="99" spans="1:25" ht="26.1" customHeight="1">
      <c r="A99" s="18"/>
      <c r="B99" s="18"/>
      <c r="C99" s="18"/>
      <c r="D99" s="18"/>
      <c r="E99" s="3"/>
      <c r="F99" s="3"/>
      <c r="G99" s="3"/>
      <c r="H99" s="3"/>
      <c r="I99" s="3"/>
      <c r="J99" s="3"/>
      <c r="K99" s="3"/>
      <c r="L99" s="3"/>
      <c r="M99" s="4" t="str">
        <f t="shared" si="4"/>
      </c>
      <c r="N99" s="4" t="str">
        <f>IF(M99="","",IF(ISNUMBER(M99),IF(M99&lt;'Scoring Methodology'!$F$16,"Low",IF(M99&lt;'Scoring Methodology'!$F$17,"Moderate",IF(M99&lt;'Scoring Methodology'!$F$18,"High","Critical"))),"Invalid input"))</f>
      </c>
      <c r="O99" s="3"/>
      <c r="P99" s="3"/>
      <c r="Q99" s="3"/>
      <c r="R99" s="3"/>
      <c r="S99" s="3"/>
      <c r="T99" s="3"/>
      <c r="U99" s="3"/>
      <c r="V99" s="4" t="str">
        <f t="shared" si="5"/>
      </c>
      <c r="W99" s="4" t="str">
        <f>IF(V99="","",IF(ISNUMBER(V99),IF(V99&lt;'Scoring Methodology'!$F$16,"Low",IF(V99&lt;'Scoring Methodology'!$F$17,"Moderate",IF(V99&lt;'Scoring Methodology'!$F$18,"High","Critical"))),"Invalid input"))</f>
      </c>
      <c r="X99" s="3"/>
      <c r="Y99" s="4" t="n">
        <f>IF(E99="",0,IF(AND(OR(Dashboard!$L$7="All",Q99=Dashboard!$L$7),OR(Dashboard!$T$7="All",N99=Dashboard!$T$7)),1,0))</f>
        <v>0</v>
      </c>
    </row>
    <row r="100" spans="1:25" ht="26.1" customHeight="1">
      <c r="A100" s="18"/>
      <c r="B100" s="18"/>
      <c r="C100" s="18"/>
      <c r="D100" s="18"/>
      <c r="E100" s="3"/>
      <c r="F100" s="3"/>
      <c r="G100" s="3"/>
      <c r="H100" s="3"/>
      <c r="I100" s="3"/>
      <c r="J100" s="3"/>
      <c r="K100" s="3"/>
      <c r="L100" s="3"/>
      <c r="M100" s="4" t="str">
        <f t="shared" si="4"/>
      </c>
      <c r="N100" s="4" t="str">
        <f>IF(M100="","",IF(ISNUMBER(M100),IF(M100&lt;'Scoring Methodology'!$F$16,"Low",IF(M100&lt;'Scoring Methodology'!$F$17,"Moderate",IF(M100&lt;'Scoring Methodology'!$F$18,"High","Critical"))),"Invalid input"))</f>
      </c>
      <c r="O100" s="3"/>
      <c r="P100" s="3"/>
      <c r="Q100" s="3"/>
      <c r="R100" s="3"/>
      <c r="S100" s="3"/>
      <c r="T100" s="3"/>
      <c r="U100" s="3"/>
      <c r="V100" s="4" t="str">
        <f t="shared" si="5"/>
      </c>
      <c r="W100" s="4" t="str">
        <f>IF(V100="","",IF(ISNUMBER(V100),IF(V100&lt;'Scoring Methodology'!$F$16,"Low",IF(V100&lt;'Scoring Methodology'!$F$17,"Moderate",IF(V100&lt;'Scoring Methodology'!$F$18,"High","Critical"))),"Invalid input"))</f>
      </c>
      <c r="X100" s="3"/>
      <c r="Y100" s="4" t="n">
        <f>IF(E100="",0,IF(AND(OR(Dashboard!$L$7="All",Q100=Dashboard!$L$7),OR(Dashboard!$T$7="All",N100=Dashboard!$T$7)),1,0))</f>
        <v>0</v>
      </c>
    </row>
    <row r="101" spans="1:25" ht="26.1" customHeight="1">
      <c r="A101" s="18"/>
      <c r="B101" s="18"/>
      <c r="C101" s="18"/>
      <c r="D101" s="18"/>
      <c r="E101" s="3"/>
      <c r="F101" s="3"/>
      <c r="G101" s="3"/>
      <c r="H101" s="3"/>
      <c r="I101" s="3"/>
      <c r="J101" s="3"/>
      <c r="K101" s="3"/>
      <c r="L101" s="3"/>
      <c r="M101" s="4" t="str">
        <f t="shared" si="4"/>
      </c>
      <c r="N101" s="4" t="str">
        <f>IF(M101="","",IF(ISNUMBER(M101),IF(M101&lt;'Scoring Methodology'!$F$16,"Low",IF(M101&lt;'Scoring Methodology'!$F$17,"Moderate",IF(M101&lt;'Scoring Methodology'!$F$18,"High","Critical"))),"Invalid input"))</f>
      </c>
      <c r="O101" s="3"/>
      <c r="P101" s="3"/>
      <c r="Q101" s="3"/>
      <c r="R101" s="3"/>
      <c r="S101" s="3"/>
      <c r="T101" s="3"/>
      <c r="U101" s="3"/>
      <c r="V101" s="4" t="str">
        <f t="shared" si="5"/>
      </c>
      <c r="W101" s="4" t="str">
        <f>IF(V101="","",IF(ISNUMBER(V101),IF(V101&lt;'Scoring Methodology'!$F$16,"Low",IF(V101&lt;'Scoring Methodology'!$F$17,"Moderate",IF(V101&lt;'Scoring Methodology'!$F$18,"High","Critical"))),"Invalid input"))</f>
      </c>
      <c r="X101" s="3"/>
      <c r="Y101" s="4" t="n">
        <f>IF(E101="",0,IF(AND(OR(Dashboard!$L$7="All",Q101=Dashboard!$L$7),OR(Dashboard!$T$7="All",N101=Dashboard!$T$7)),1,0))</f>
        <v>0</v>
      </c>
    </row>
    <row r="102" spans="1:25" ht="26.1" customHeight="1">
      <c r="A102" s="18"/>
      <c r="B102" s="18"/>
      <c r="C102" s="18"/>
      <c r="D102" s="18"/>
      <c r="E102" s="3"/>
      <c r="F102" s="3"/>
      <c r="G102" s="3"/>
      <c r="H102" s="3"/>
      <c r="I102" s="3"/>
      <c r="J102" s="3"/>
      <c r="K102" s="3"/>
      <c r="L102" s="3"/>
      <c r="M102" s="4" t="str">
        <f t="shared" si="4"/>
      </c>
      <c r="N102" s="4" t="str">
        <f>IF(M102="","",IF(ISNUMBER(M102),IF(M102&lt;'Scoring Methodology'!$F$16,"Low",IF(M102&lt;'Scoring Methodology'!$F$17,"Moderate",IF(M102&lt;'Scoring Methodology'!$F$18,"High","Critical"))),"Invalid input"))</f>
      </c>
      <c r="O102" s="3"/>
      <c r="P102" s="3"/>
      <c r="Q102" s="3"/>
      <c r="R102" s="3"/>
      <c r="S102" s="3"/>
      <c r="T102" s="3"/>
      <c r="U102" s="3"/>
      <c r="V102" s="4" t="str">
        <f t="shared" si="5"/>
      </c>
      <c r="W102" s="4" t="str">
        <f>IF(V102="","",IF(ISNUMBER(V102),IF(V102&lt;'Scoring Methodology'!$F$16,"Low",IF(V102&lt;'Scoring Methodology'!$F$17,"Moderate",IF(V102&lt;'Scoring Methodology'!$F$18,"High","Critical"))),"Invalid input"))</f>
      </c>
      <c r="X102" s="3"/>
      <c r="Y102" s="4" t="n">
        <f>IF(E102="",0,IF(AND(OR(Dashboard!$L$7="All",Q102=Dashboard!$L$7),OR(Dashboard!$T$7="All",N102=Dashboard!$T$7)),1,0))</f>
        <v>0</v>
      </c>
    </row>
    <row r="103" spans="1:25" ht="26.1" customHeight="1">
      <c r="A103" s="18"/>
      <c r="B103" s="18"/>
      <c r="C103" s="18"/>
      <c r="D103" s="18"/>
      <c r="E103" s="3"/>
      <c r="F103" s="3"/>
      <c r="G103" s="3"/>
      <c r="H103" s="3"/>
      <c r="I103" s="3"/>
      <c r="J103" s="3"/>
      <c r="K103" s="3"/>
      <c r="L103" s="3"/>
      <c r="M103" s="4" t="str">
        <f t="shared" ref="M103:M106" si="6">IF(E103="","",IF(OR(K103="",L103=""),"",IF(AND(ISNUMBER(K103),ISNUMBER(L103),K103&gt;=1,K103&lt;=5,L103&gt;=1,L103&lt;=5,MOD(K103,1)=0,MOD(L103,1)=0),K103*L103,"Invalid input")))</f>
      </c>
      <c r="N103" s="4" t="str">
        <f>IF(M103="","",IF(ISNUMBER(M103),IF(M103&lt;'Scoring Methodology'!$F$16,"Low",IF(M103&lt;'Scoring Methodology'!$F$17,"Moderate",IF(M103&lt;'Scoring Methodology'!$F$18,"High","Critical"))),"Invalid input"))</f>
      </c>
      <c r="O103" s="3"/>
      <c r="P103" s="3"/>
      <c r="Q103" s="3"/>
      <c r="R103" s="3"/>
      <c r="S103" s="3"/>
      <c r="T103" s="3"/>
      <c r="U103" s="3"/>
      <c r="V103" s="4" t="str">
        <f t="shared" ref="V103:V106" si="7">IF(E103="","",IF(OR(T103="",U103=""),"",IF(AND(ISNUMBER(T103),ISNUMBER(U103),T103&gt;=1,T103&lt;=5,U103&gt;=1,U103&lt;=5,MOD(T103,1)=0,MOD(U103,1)=0),T103*U103,"Invalid input")))</f>
      </c>
      <c r="W103" s="4" t="str">
        <f>IF(V103="","",IF(ISNUMBER(V103),IF(V103&lt;'Scoring Methodology'!$F$16,"Low",IF(V103&lt;'Scoring Methodology'!$F$17,"Moderate",IF(V103&lt;'Scoring Methodology'!$F$18,"High","Critical"))),"Invalid input"))</f>
      </c>
      <c r="X103" s="3"/>
      <c r="Y103" s="4" t="n">
        <f>IF(E103="",0,IF(AND(OR(Dashboard!$L$7="All",Q103=Dashboard!$L$7),OR(Dashboard!$T$7="All",N103=Dashboard!$T$7)),1,0))</f>
        <v>0</v>
      </c>
    </row>
    <row r="104" spans="1:25" ht="26.1" customHeight="1">
      <c r="A104" s="18"/>
      <c r="B104" s="18"/>
      <c r="C104" s="18"/>
      <c r="D104" s="18"/>
      <c r="E104" s="3"/>
      <c r="F104" s="3"/>
      <c r="G104" s="3"/>
      <c r="H104" s="3"/>
      <c r="I104" s="3"/>
      <c r="J104" s="3"/>
      <c r="K104" s="3"/>
      <c r="L104" s="3"/>
      <c r="M104" s="4" t="str">
        <f t="shared" si="6"/>
      </c>
      <c r="N104" s="4" t="str">
        <f>IF(M104="","",IF(ISNUMBER(M104),IF(M104&lt;'Scoring Methodology'!$F$16,"Low",IF(M104&lt;'Scoring Methodology'!$F$17,"Moderate",IF(M104&lt;'Scoring Methodology'!$F$18,"High","Critical"))),"Invalid input"))</f>
      </c>
      <c r="O104" s="3"/>
      <c r="P104" s="3"/>
      <c r="Q104" s="3"/>
      <c r="R104" s="3"/>
      <c r="S104" s="3"/>
      <c r="T104" s="3"/>
      <c r="U104" s="3"/>
      <c r="V104" s="4" t="str">
        <f t="shared" si="7"/>
      </c>
      <c r="W104" s="4" t="str">
        <f>IF(V104="","",IF(ISNUMBER(V104),IF(V104&lt;'Scoring Methodology'!$F$16,"Low",IF(V104&lt;'Scoring Methodology'!$F$17,"Moderate",IF(V104&lt;'Scoring Methodology'!$F$18,"High","Critical"))),"Invalid input"))</f>
      </c>
      <c r="X104" s="3"/>
      <c r="Y104" s="4" t="n">
        <f>IF(E104="",0,IF(AND(OR(Dashboard!$L$7="All",Q104=Dashboard!$L$7),OR(Dashboard!$T$7="All",N104=Dashboard!$T$7)),1,0))</f>
        <v>0</v>
      </c>
    </row>
    <row r="105" spans="1:25" ht="26.1" customHeight="1">
      <c r="A105" s="18"/>
      <c r="B105" s="18"/>
      <c r="C105" s="18"/>
      <c r="D105" s="18"/>
      <c r="E105" s="3"/>
      <c r="F105" s="3"/>
      <c r="G105" s="3"/>
      <c r="H105" s="3"/>
      <c r="I105" s="3"/>
      <c r="J105" s="3"/>
      <c r="K105" s="3"/>
      <c r="L105" s="3"/>
      <c r="M105" s="4" t="str">
        <f t="shared" si="6"/>
      </c>
      <c r="N105" s="4" t="str">
        <f>IF(M105="","",IF(ISNUMBER(M105),IF(M105&lt;'Scoring Methodology'!$F$16,"Low",IF(M105&lt;'Scoring Methodology'!$F$17,"Moderate",IF(M105&lt;'Scoring Methodology'!$F$18,"High","Critical"))),"Invalid input"))</f>
      </c>
      <c r="O105" s="3"/>
      <c r="P105" s="3"/>
      <c r="Q105" s="3"/>
      <c r="R105" s="3"/>
      <c r="S105" s="3"/>
      <c r="T105" s="3"/>
      <c r="U105" s="3"/>
      <c r="V105" s="4" t="str">
        <f t="shared" si="7"/>
      </c>
      <c r="W105" s="4" t="str">
        <f>IF(V105="","",IF(ISNUMBER(V105),IF(V105&lt;'Scoring Methodology'!$F$16,"Low",IF(V105&lt;'Scoring Methodology'!$F$17,"Moderate",IF(V105&lt;'Scoring Methodology'!$F$18,"High","Critical"))),"Invalid input"))</f>
      </c>
      <c r="X105" s="3"/>
      <c r="Y105" s="4" t="n">
        <f>IF(E105="",0,IF(AND(OR(Dashboard!$L$7="All",Q105=Dashboard!$L$7),OR(Dashboard!$T$7="All",N105=Dashboard!$T$7)),1,0))</f>
        <v>0</v>
      </c>
    </row>
    <row r="106" spans="1:25" ht="26.1" customHeight="1">
      <c r="A106" s="18"/>
      <c r="B106" s="18"/>
      <c r="C106" s="18"/>
      <c r="D106" s="18"/>
      <c r="E106" s="3"/>
      <c r="F106" s="3"/>
      <c r="G106" s="3"/>
      <c r="H106" s="3"/>
      <c r="I106" s="3"/>
      <c r="J106" s="3"/>
      <c r="K106" s="3"/>
      <c r="L106" s="3"/>
      <c r="M106" s="4" t="str">
        <f t="shared" si="6"/>
      </c>
      <c r="N106" s="4" t="str">
        <f>IF(M106="","",IF(ISNUMBER(M106),IF(M106&lt;'Scoring Methodology'!$F$16,"Low",IF(M106&lt;'Scoring Methodology'!$F$17,"Moderate",IF(M106&lt;'Scoring Methodology'!$F$18,"High","Critical"))),"Invalid input"))</f>
      </c>
      <c r="O106" s="3"/>
      <c r="P106" s="3"/>
      <c r="Q106" s="3"/>
      <c r="R106" s="3"/>
      <c r="S106" s="3"/>
      <c r="T106" s="3"/>
      <c r="U106" s="3"/>
      <c r="V106" s="4" t="str">
        <f t="shared" si="7"/>
      </c>
      <c r="W106" s="4" t="str">
        <f>IF(V106="","",IF(ISNUMBER(V106),IF(V106&lt;'Scoring Methodology'!$F$16,"Low",IF(V106&lt;'Scoring Methodology'!$F$17,"Moderate",IF(V106&lt;'Scoring Methodology'!$F$18,"High","Critical"))),"Invalid input"))</f>
      </c>
      <c r="X106" s="3"/>
      <c r="Y106" s="4" t="n">
        <f>IF(E106="",0,IF(AND(OR(Dashboard!$L$7="All",Q106=Dashboard!$L$7),OR(Dashboard!$T$7="All",N106=Dashboard!$T$7)),1,0))</f>
        <v>0</v>
      </c>
    </row>
    <row r="107" spans="1:25">
      <c r="A107" s="18"/>
      <c r="B107" s="18"/>
      <c r="C107" s="18"/>
      <c r="D107" s="18"/>
    </row>
    <row r="108" spans="1:25">
      <c r="A108" s="18"/>
      <c r="B108" s="18"/>
      <c r="C108" s="18"/>
      <c r="D108" s="18"/>
    </row>
    <row r="109" spans="1:25">
      <c r="A109" s="18"/>
      <c r="B109" s="18"/>
      <c r="C109" s="18"/>
      <c r="D109" s="18"/>
    </row>
    <row r="110" spans="1:25">
      <c r="A110" s="18"/>
      <c r="B110" s="18"/>
      <c r="C110" s="18"/>
      <c r="D110" s="18"/>
    </row>
  </sheetData>
  <mergeCells count="1">
    <mergeCell ref="E5:Y5"/>
  </mergeCells>
  <conditionalFormatting sqref="E7:E106">
    <cfRule type="expression" dxfId="27" priority="9">
      <formula>AND(E7&lt;&gt;"",COUNTIFS($E$7:$E$106,E7)&gt;1)</formula>
    </cfRule>
  </conditionalFormatting>
  <conditionalFormatting sqref="M7:N106">
    <cfRule type="expression" dxfId="26" priority="1">
      <formula>$N7="Low"</formula>
    </cfRule>
    <cfRule type="expression" dxfId="25" priority="2">
      <formula>$N7="Moderate"</formula>
    </cfRule>
    <cfRule type="expression" dxfId="24" priority="3">
      <formula>$N7="High"</formula>
    </cfRule>
    <cfRule type="expression" dxfId="23" priority="4">
      <formula>$N7="Critical"</formula>
    </cfRule>
  </conditionalFormatting>
  <conditionalFormatting sqref="Q7:Q106">
    <cfRule type="cellIs" dxfId="22" priority="10" operator="equal">
      <formula>"Pending validation"</formula>
    </cfRule>
    <cfRule type="cellIs" dxfId="21" priority="11" operator="equal">
      <formula>"Validated"</formula>
    </cfRule>
    <cfRule type="cellIs" dxfId="20" priority="12" operator="equal">
      <formula>"Rejected"</formula>
    </cfRule>
  </conditionalFormatting>
  <conditionalFormatting sqref="V7:W106">
    <cfRule type="expression" dxfId="19" priority="5">
      <formula>$W7="Low"</formula>
    </cfRule>
    <cfRule type="expression" dxfId="18" priority="6">
      <formula>$W7="Moderate"</formula>
    </cfRule>
    <cfRule type="expression" dxfId="17" priority="7">
      <formula>$W7="High"</formula>
    </cfRule>
    <cfRule type="expression" dxfId="16" priority="8">
      <formula>$W7="Critical"</formula>
    </cfRule>
  </conditionalFormatting>
  <dataValidations count="5">
    <dataValidation type="list" allowBlank="1" showErrorMessage="1" errorTitle="Select an allowed option" error="Choose a dropdown value or leave an unknown input blank." sqref="T7:U106 K7:L106" xr:uid="{00000000-0002-0000-0100-000000000000}">
      <formula1>"1,2,3,4,5"</formula1>
    </dataValidation>
    <dataValidation type="list" allowBlank="1" showErrorMessage="1" errorTitle="Select an allowed option" error="Choose a dropdown value or leave an unknown input blank." sqref="J7:J106" xr:uid="{00000000-0002-0000-0100-000001000000}">
      <formula1>"Identity and access,Data protection,Operations,Third party,Governance,Other"</formula1>
    </dataValidation>
    <dataValidation type="list" allowBlank="1" showErrorMessage="1" errorTitle="Select an allowed option" error="Choose a dropdown value or leave an unknown input blank." sqref="P7:P106" xr:uid="{00000000-0002-0000-0100-000002000000}">
      <formula1>"Mitigate,Accept,Avoid,Transfer"</formula1>
    </dataValidation>
    <dataValidation type="list" allowBlank="1" showErrorMessage="1" errorTitle="Select an allowed option" error="Choose a dropdown value or leave an unknown input blank." sqref="Q7:Q106" xr:uid="{00000000-0002-0000-0100-000003000000}">
      <formula1>"Pending validation,Validated,Rejected"</formula1>
    </dataValidation>
    <dataValidation type="list" allowBlank="1" showErrorMessage="1" errorTitle="Select an allowed option" error="Choose a dropdown value or leave an unknown input blank." sqref="R7:R106" xr:uid="{00000000-0002-0000-0100-000004000000}">
      <formula1>"Proposed,Open,In progress,Closed"</formula1>
    </dataValidation>
  </dataValidation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2F47"/>
  </sheetPr>
  <dimension ref="A1:P110"/>
  <sheetViews>
    <sheetView showGridLines="0" showRowColHeaders="0" zoomScale="75" workbookViewId="0">
      <pane xSplit="6" ySplit="6" topLeftCell="G7" activePane="bottomRight" state="frozen"/>
      <selection pane="topRight"/>
      <selection pane="bottomLeft"/>
      <selection pane="bottomRight"/>
    </sheetView>
  </sheetViews>
  <sheetFormatPr defaultRowHeight="14.25"/>
  <cols>
    <col min="1" max="4" width="7.25" customWidth="1"/>
    <col min="5" max="5" width="15" customWidth="1"/>
    <col min="6" max="6" width="13" customWidth="1"/>
    <col min="7" max="7" width="42" customWidth="1"/>
    <col min="8" max="9" width="48" customWidth="1"/>
    <col min="10" max="11" width="21" customWidth="1"/>
    <col min="12" max="12" width="23" customWidth="1"/>
    <col min="13" max="13" width="24" customWidth="1"/>
    <col min="14" max="14" width="18" customWidth="1"/>
    <col min="15" max="15" width="22" customWidth="1"/>
    <col min="16" max="16" width="48"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19" t="s">
        <v>146</v>
      </c>
      <c r="F5" s="19"/>
      <c r="G5" s="19"/>
      <c r="H5" s="19"/>
      <c r="I5" s="19"/>
      <c r="J5" s="19"/>
      <c r="K5" s="19"/>
      <c r="L5" s="19"/>
      <c r="M5" s="19"/>
      <c r="N5" s="19"/>
      <c r="O5" s="19"/>
      <c r="P5" s="19"/>
    </row>
    <row r="6" spans="1:16" ht="45.95" customHeight="1">
      <c r="A6" s="18"/>
      <c r="B6" s="18"/>
      <c r="C6" s="18"/>
      <c r="D6" s="18"/>
      <c r="E6" s="2" t="s">
        <v>32</v>
      </c>
      <c r="F6" s="2" t="s">
        <v>0</v>
      </c>
      <c r="G6" s="2" t="s">
        <v>33</v>
      </c>
      <c r="H6" s="2" t="s">
        <v>34</v>
      </c>
      <c r="I6" s="2" t="s">
        <v>35</v>
      </c>
      <c r="J6" s="2" t="s">
        <v>36</v>
      </c>
      <c r="K6" s="2" t="s">
        <v>37</v>
      </c>
      <c r="L6" s="2" t="s">
        <v>14</v>
      </c>
      <c r="M6" s="2" t="s">
        <v>38</v>
      </c>
      <c r="N6" s="2" t="s">
        <v>39</v>
      </c>
      <c r="O6" s="2" t="s">
        <v>12</v>
      </c>
      <c r="P6" s="2" t="s">
        <v>40</v>
      </c>
    </row>
    <row r="7" spans="1:16" ht="117.95" customHeight="1">
      <c r="A7" s="18"/>
      <c r="B7" s="18"/>
      <c r="C7" s="18"/>
      <c r="D7" s="18"/>
      <c r="E7" s="3" t="s">
        <v>41</v>
      </c>
      <c r="F7" s="3" t="s">
        <v>21</v>
      </c>
      <c r="G7" s="3" t="s">
        <v>42</v>
      </c>
      <c r="H7" s="3" t="s">
        <v>43</v>
      </c>
      <c r="I7" s="3" t="s">
        <v>44</v>
      </c>
      <c r="J7" s="3" t="s">
        <v>45</v>
      </c>
      <c r="K7" s="3" t="s">
        <v>45</v>
      </c>
      <c r="L7" s="3"/>
      <c r="M7" s="3"/>
      <c r="N7" s="5"/>
      <c r="O7" s="3" t="s">
        <v>29</v>
      </c>
      <c r="P7" s="3" t="s">
        <v>46</v>
      </c>
    </row>
    <row r="8" spans="1:16" ht="26.1" customHeight="1">
      <c r="A8" s="18"/>
      <c r="B8" s="18"/>
      <c r="C8" s="18"/>
      <c r="D8" s="18"/>
      <c r="E8" s="3"/>
      <c r="F8" s="3"/>
      <c r="G8" s="3"/>
      <c r="H8" s="3"/>
      <c r="I8" s="3"/>
      <c r="J8" s="3"/>
      <c r="K8" s="3"/>
      <c r="L8" s="3"/>
      <c r="M8" s="3"/>
      <c r="N8" s="5"/>
      <c r="O8" s="3"/>
      <c r="P8" s="3"/>
    </row>
    <row r="9" spans="1:16" ht="26.1" customHeight="1">
      <c r="A9" s="18"/>
      <c r="B9" s="18"/>
      <c r="C9" s="18"/>
      <c r="D9" s="18"/>
      <c r="E9" s="3"/>
      <c r="F9" s="3"/>
      <c r="G9" s="3"/>
      <c r="H9" s="3"/>
      <c r="I9" s="3"/>
      <c r="J9" s="3"/>
      <c r="K9" s="3"/>
      <c r="L9" s="3"/>
      <c r="M9" s="3"/>
      <c r="N9" s="5"/>
      <c r="O9" s="3"/>
      <c r="P9" s="3"/>
    </row>
    <row r="10" spans="1:16" ht="26.1" customHeight="1">
      <c r="A10" s="18"/>
      <c r="B10" s="18"/>
      <c r="C10" s="18"/>
      <c r="D10" s="18"/>
      <c r="E10" s="3"/>
      <c r="F10" s="3"/>
      <c r="G10" s="3"/>
      <c r="H10" s="3"/>
      <c r="I10" s="3"/>
      <c r="J10" s="3"/>
      <c r="K10" s="3"/>
      <c r="L10" s="3"/>
      <c r="M10" s="3"/>
      <c r="N10" s="5"/>
      <c r="O10" s="3"/>
      <c r="P10" s="3"/>
    </row>
    <row r="11" spans="1:16" ht="26.1" customHeight="1">
      <c r="A11" s="18"/>
      <c r="B11" s="18"/>
      <c r="C11" s="18"/>
      <c r="D11" s="18"/>
      <c r="E11" s="3"/>
      <c r="F11" s="3"/>
      <c r="G11" s="3"/>
      <c r="H11" s="3"/>
      <c r="I11" s="3"/>
      <c r="J11" s="3"/>
      <c r="K11" s="3"/>
      <c r="L11" s="3"/>
      <c r="M11" s="3"/>
      <c r="N11" s="5"/>
      <c r="O11" s="3"/>
      <c r="P11" s="3"/>
    </row>
    <row r="12" spans="1:16" ht="26.1" customHeight="1">
      <c r="A12" s="18"/>
      <c r="B12" s="18"/>
      <c r="C12" s="18"/>
      <c r="D12" s="18"/>
      <c r="E12" s="3"/>
      <c r="F12" s="3"/>
      <c r="G12" s="3"/>
      <c r="H12" s="3"/>
      <c r="I12" s="3"/>
      <c r="J12" s="3"/>
      <c r="K12" s="3"/>
      <c r="L12" s="3"/>
      <c r="M12" s="3"/>
      <c r="N12" s="5"/>
      <c r="O12" s="3"/>
      <c r="P12" s="3"/>
    </row>
    <row r="13" spans="1:16" ht="26.1" customHeight="1">
      <c r="A13" s="18"/>
      <c r="B13" s="18"/>
      <c r="C13" s="18"/>
      <c r="D13" s="18"/>
      <c r="E13" s="3"/>
      <c r="F13" s="3"/>
      <c r="G13" s="3"/>
      <c r="H13" s="3"/>
      <c r="I13" s="3"/>
      <c r="J13" s="3"/>
      <c r="K13" s="3"/>
      <c r="L13" s="3"/>
      <c r="M13" s="3"/>
      <c r="N13" s="5"/>
      <c r="O13" s="3"/>
      <c r="P13" s="3"/>
    </row>
    <row r="14" spans="1:16" ht="26.1" customHeight="1">
      <c r="A14" s="18"/>
      <c r="B14" s="18"/>
      <c r="C14" s="18"/>
      <c r="D14" s="18"/>
      <c r="E14" s="3"/>
      <c r="F14" s="3"/>
      <c r="G14" s="3"/>
      <c r="H14" s="3"/>
      <c r="I14" s="3"/>
      <c r="J14" s="3"/>
      <c r="K14" s="3"/>
      <c r="L14" s="3"/>
      <c r="M14" s="3"/>
      <c r="N14" s="5"/>
      <c r="O14" s="3"/>
      <c r="P14" s="3"/>
    </row>
    <row r="15" spans="1:16" ht="26.1" customHeight="1">
      <c r="A15" s="18"/>
      <c r="B15" s="18"/>
      <c r="C15" s="18"/>
      <c r="D15" s="18"/>
      <c r="E15" s="3"/>
      <c r="F15" s="3"/>
      <c r="G15" s="3"/>
      <c r="H15" s="3"/>
      <c r="I15" s="3"/>
      <c r="J15" s="3"/>
      <c r="K15" s="3"/>
      <c r="L15" s="3"/>
      <c r="M15" s="3"/>
      <c r="N15" s="5"/>
      <c r="O15" s="3"/>
      <c r="P15" s="3"/>
    </row>
    <row r="16" spans="1:16" ht="26.1" customHeight="1">
      <c r="A16" s="18"/>
      <c r="B16" s="18"/>
      <c r="C16" s="18"/>
      <c r="D16" s="18"/>
      <c r="E16" s="3"/>
      <c r="F16" s="3"/>
      <c r="G16" s="3"/>
      <c r="H16" s="3"/>
      <c r="I16" s="3"/>
      <c r="J16" s="3"/>
      <c r="K16" s="3"/>
      <c r="L16" s="3"/>
      <c r="M16" s="3"/>
      <c r="N16" s="5"/>
      <c r="O16" s="3"/>
      <c r="P16" s="3"/>
    </row>
    <row r="17" spans="1:16" ht="26.1" customHeight="1">
      <c r="A17" s="18"/>
      <c r="B17" s="18"/>
      <c r="C17" s="18"/>
      <c r="D17" s="18"/>
      <c r="E17" s="3"/>
      <c r="F17" s="3"/>
      <c r="G17" s="3"/>
      <c r="H17" s="3"/>
      <c r="I17" s="3"/>
      <c r="J17" s="3"/>
      <c r="K17" s="3"/>
      <c r="L17" s="3"/>
      <c r="M17" s="3"/>
      <c r="N17" s="5"/>
      <c r="O17" s="3"/>
      <c r="P17" s="3"/>
    </row>
    <row r="18" spans="1:16" ht="26.1" customHeight="1">
      <c r="A18" s="18"/>
      <c r="B18" s="18"/>
      <c r="C18" s="18"/>
      <c r="D18" s="18"/>
      <c r="E18" s="3"/>
      <c r="F18" s="3"/>
      <c r="G18" s="3"/>
      <c r="H18" s="3"/>
      <c r="I18" s="3"/>
      <c r="J18" s="3"/>
      <c r="K18" s="3"/>
      <c r="L18" s="3"/>
      <c r="M18" s="3"/>
      <c r="N18" s="5"/>
      <c r="O18" s="3"/>
      <c r="P18" s="3"/>
    </row>
    <row r="19" spans="1:16" ht="26.1" customHeight="1">
      <c r="A19" s="18"/>
      <c r="B19" s="18"/>
      <c r="C19" s="18"/>
      <c r="D19" s="18"/>
      <c r="E19" s="3"/>
      <c r="F19" s="3"/>
      <c r="G19" s="3"/>
      <c r="H19" s="3"/>
      <c r="I19" s="3"/>
      <c r="J19" s="3"/>
      <c r="K19" s="3"/>
      <c r="L19" s="3"/>
      <c r="M19" s="3"/>
      <c r="N19" s="5"/>
      <c r="O19" s="3"/>
      <c r="P19" s="3"/>
    </row>
    <row r="20" spans="1:16" ht="26.1" customHeight="1">
      <c r="A20" s="18"/>
      <c r="B20" s="18"/>
      <c r="C20" s="18"/>
      <c r="D20" s="18"/>
      <c r="E20" s="3"/>
      <c r="F20" s="3"/>
      <c r="G20" s="3"/>
      <c r="H20" s="3"/>
      <c r="I20" s="3"/>
      <c r="J20" s="3"/>
      <c r="K20" s="3"/>
      <c r="L20" s="3"/>
      <c r="M20" s="3"/>
      <c r="N20" s="5"/>
      <c r="O20" s="3"/>
      <c r="P20" s="3"/>
    </row>
    <row r="21" spans="1:16" ht="26.1" customHeight="1">
      <c r="A21" s="18"/>
      <c r="B21" s="18"/>
      <c r="C21" s="18"/>
      <c r="D21" s="18"/>
      <c r="E21" s="3"/>
      <c r="F21" s="3"/>
      <c r="G21" s="3"/>
      <c r="H21" s="3"/>
      <c r="I21" s="3"/>
      <c r="J21" s="3"/>
      <c r="K21" s="3"/>
      <c r="L21" s="3"/>
      <c r="M21" s="3"/>
      <c r="N21" s="5"/>
      <c r="O21" s="3"/>
      <c r="P21" s="3"/>
    </row>
    <row r="22" spans="1:16" ht="26.1" customHeight="1">
      <c r="A22" s="18"/>
      <c r="B22" s="18"/>
      <c r="C22" s="18"/>
      <c r="D22" s="18"/>
      <c r="E22" s="3"/>
      <c r="F22" s="3"/>
      <c r="G22" s="3"/>
      <c r="H22" s="3"/>
      <c r="I22" s="3"/>
      <c r="J22" s="3"/>
      <c r="K22" s="3"/>
      <c r="L22" s="3"/>
      <c r="M22" s="3"/>
      <c r="N22" s="5"/>
      <c r="O22" s="3"/>
      <c r="P22" s="3"/>
    </row>
    <row r="23" spans="1:16" ht="26.1" customHeight="1">
      <c r="A23" s="18"/>
      <c r="B23" s="18"/>
      <c r="C23" s="18"/>
      <c r="D23" s="18"/>
      <c r="E23" s="3"/>
      <c r="F23" s="3"/>
      <c r="G23" s="3"/>
      <c r="H23" s="3"/>
      <c r="I23" s="3"/>
      <c r="J23" s="3"/>
      <c r="K23" s="3"/>
      <c r="L23" s="3"/>
      <c r="M23" s="3"/>
      <c r="N23" s="5"/>
      <c r="O23" s="3"/>
      <c r="P23" s="3"/>
    </row>
    <row r="24" spans="1:16" ht="26.1" customHeight="1">
      <c r="A24" s="18"/>
      <c r="B24" s="18"/>
      <c r="C24" s="18"/>
      <c r="D24" s="18"/>
      <c r="E24" s="3"/>
      <c r="F24" s="3"/>
      <c r="G24" s="3"/>
      <c r="H24" s="3"/>
      <c r="I24" s="3"/>
      <c r="J24" s="3"/>
      <c r="K24" s="3"/>
      <c r="L24" s="3"/>
      <c r="M24" s="3"/>
      <c r="N24" s="5"/>
      <c r="O24" s="3"/>
      <c r="P24" s="3"/>
    </row>
    <row r="25" spans="1:16" ht="26.1" customHeight="1">
      <c r="A25" s="18"/>
      <c r="B25" s="18"/>
      <c r="C25" s="18"/>
      <c r="D25" s="18"/>
      <c r="E25" s="3"/>
      <c r="F25" s="3"/>
      <c r="G25" s="3"/>
      <c r="H25" s="3"/>
      <c r="I25" s="3"/>
      <c r="J25" s="3"/>
      <c r="K25" s="3"/>
      <c r="L25" s="3"/>
      <c r="M25" s="3"/>
      <c r="N25" s="5"/>
      <c r="O25" s="3"/>
      <c r="P25" s="3"/>
    </row>
    <row r="26" spans="1:16" ht="26.1" customHeight="1">
      <c r="A26" s="18"/>
      <c r="B26" s="18"/>
      <c r="C26" s="18"/>
      <c r="D26" s="18"/>
      <c r="E26" s="3"/>
      <c r="F26" s="3"/>
      <c r="G26" s="3"/>
      <c r="H26" s="3"/>
      <c r="I26" s="3"/>
      <c r="J26" s="3"/>
      <c r="K26" s="3"/>
      <c r="L26" s="3"/>
      <c r="M26" s="3"/>
      <c r="N26" s="5"/>
      <c r="O26" s="3"/>
      <c r="P26" s="3"/>
    </row>
    <row r="27" spans="1:16" ht="26.1" customHeight="1">
      <c r="A27" s="18"/>
      <c r="B27" s="18"/>
      <c r="C27" s="18"/>
      <c r="D27" s="18"/>
      <c r="E27" s="3"/>
      <c r="F27" s="3"/>
      <c r="G27" s="3"/>
      <c r="H27" s="3"/>
      <c r="I27" s="3"/>
      <c r="J27" s="3"/>
      <c r="K27" s="3"/>
      <c r="L27" s="3"/>
      <c r="M27" s="3"/>
      <c r="N27" s="5"/>
      <c r="O27" s="3"/>
      <c r="P27" s="3"/>
    </row>
    <row r="28" spans="1:16" ht="26.1" customHeight="1">
      <c r="A28" s="18"/>
      <c r="B28" s="18"/>
      <c r="C28" s="18"/>
      <c r="D28" s="18"/>
      <c r="E28" s="3"/>
      <c r="F28" s="3"/>
      <c r="G28" s="3"/>
      <c r="H28" s="3"/>
      <c r="I28" s="3"/>
      <c r="J28" s="3"/>
      <c r="K28" s="3"/>
      <c r="L28" s="3"/>
      <c r="M28" s="3"/>
      <c r="N28" s="5"/>
      <c r="O28" s="3"/>
      <c r="P28" s="3"/>
    </row>
    <row r="29" spans="1:16" ht="26.1" customHeight="1">
      <c r="A29" s="18"/>
      <c r="B29" s="18"/>
      <c r="C29" s="18"/>
      <c r="D29" s="18"/>
      <c r="E29" s="3"/>
      <c r="F29" s="3"/>
      <c r="G29" s="3"/>
      <c r="H29" s="3"/>
      <c r="I29" s="3"/>
      <c r="J29" s="3"/>
      <c r="K29" s="3"/>
      <c r="L29" s="3"/>
      <c r="M29" s="3"/>
      <c r="N29" s="5"/>
      <c r="O29" s="3"/>
      <c r="P29" s="3"/>
    </row>
    <row r="30" spans="1:16" ht="26.1" customHeight="1">
      <c r="A30" s="18"/>
      <c r="B30" s="18"/>
      <c r="C30" s="18"/>
      <c r="D30" s="18"/>
      <c r="E30" s="3"/>
      <c r="F30" s="3"/>
      <c r="G30" s="3"/>
      <c r="H30" s="3"/>
      <c r="I30" s="3"/>
      <c r="J30" s="3"/>
      <c r="K30" s="3"/>
      <c r="L30" s="3"/>
      <c r="M30" s="3"/>
      <c r="N30" s="5"/>
      <c r="O30" s="3"/>
      <c r="P30" s="3"/>
    </row>
    <row r="31" spans="1:16" ht="26.1" customHeight="1">
      <c r="A31" s="18"/>
      <c r="B31" s="18"/>
      <c r="C31" s="18"/>
      <c r="D31" s="18"/>
      <c r="E31" s="3"/>
      <c r="F31" s="3"/>
      <c r="G31" s="3"/>
      <c r="H31" s="3"/>
      <c r="I31" s="3"/>
      <c r="J31" s="3"/>
      <c r="K31" s="3"/>
      <c r="L31" s="3"/>
      <c r="M31" s="3"/>
      <c r="N31" s="5"/>
      <c r="O31" s="3"/>
      <c r="P31" s="3"/>
    </row>
    <row r="32" spans="1:16" ht="26.1" customHeight="1">
      <c r="A32" s="18"/>
      <c r="B32" s="18"/>
      <c r="C32" s="18"/>
      <c r="D32" s="18"/>
      <c r="E32" s="3"/>
      <c r="F32" s="3"/>
      <c r="G32" s="3"/>
      <c r="H32" s="3"/>
      <c r="I32" s="3"/>
      <c r="J32" s="3"/>
      <c r="K32" s="3"/>
      <c r="L32" s="3"/>
      <c r="M32" s="3"/>
      <c r="N32" s="5"/>
      <c r="O32" s="3"/>
      <c r="P32" s="3"/>
    </row>
    <row r="33" spans="1:16" ht="26.1" customHeight="1">
      <c r="A33" s="18"/>
      <c r="B33" s="18"/>
      <c r="C33" s="18"/>
      <c r="D33" s="18"/>
      <c r="E33" s="3"/>
      <c r="F33" s="3"/>
      <c r="G33" s="3"/>
      <c r="H33" s="3"/>
      <c r="I33" s="3"/>
      <c r="J33" s="3"/>
      <c r="K33" s="3"/>
      <c r="L33" s="3"/>
      <c r="M33" s="3"/>
      <c r="N33" s="5"/>
      <c r="O33" s="3"/>
      <c r="P33" s="3"/>
    </row>
    <row r="34" spans="1:16" ht="26.1" customHeight="1">
      <c r="A34" s="18"/>
      <c r="B34" s="18"/>
      <c r="C34" s="18"/>
      <c r="D34" s="18"/>
      <c r="E34" s="3"/>
      <c r="F34" s="3"/>
      <c r="G34" s="3"/>
      <c r="H34" s="3"/>
      <c r="I34" s="3"/>
      <c r="J34" s="3"/>
      <c r="K34" s="3"/>
      <c r="L34" s="3"/>
      <c r="M34" s="3"/>
      <c r="N34" s="5"/>
      <c r="O34" s="3"/>
      <c r="P34" s="3"/>
    </row>
    <row r="35" spans="1:16" ht="26.1" customHeight="1">
      <c r="A35" s="18"/>
      <c r="B35" s="18"/>
      <c r="C35" s="18"/>
      <c r="D35" s="18"/>
      <c r="E35" s="3"/>
      <c r="F35" s="3"/>
      <c r="G35" s="3"/>
      <c r="H35" s="3"/>
      <c r="I35" s="3"/>
      <c r="J35" s="3"/>
      <c r="K35" s="3"/>
      <c r="L35" s="3"/>
      <c r="M35" s="3"/>
      <c r="N35" s="5"/>
      <c r="O35" s="3"/>
      <c r="P35" s="3"/>
    </row>
    <row r="36" spans="1:16" ht="26.1" customHeight="1">
      <c r="A36" s="18"/>
      <c r="B36" s="18"/>
      <c r="C36" s="18"/>
      <c r="D36" s="18"/>
      <c r="E36" s="3"/>
      <c r="F36" s="3"/>
      <c r="G36" s="3"/>
      <c r="H36" s="3"/>
      <c r="I36" s="3"/>
      <c r="J36" s="3"/>
      <c r="K36" s="3"/>
      <c r="L36" s="3"/>
      <c r="M36" s="3"/>
      <c r="N36" s="5"/>
      <c r="O36" s="3"/>
      <c r="P36" s="3"/>
    </row>
    <row r="37" spans="1:16" ht="26.1" customHeight="1">
      <c r="A37" s="18"/>
      <c r="B37" s="18"/>
      <c r="C37" s="18"/>
      <c r="D37" s="18"/>
      <c r="E37" s="3"/>
      <c r="F37" s="3"/>
      <c r="G37" s="3"/>
      <c r="H37" s="3"/>
      <c r="I37" s="3"/>
      <c r="J37" s="3"/>
      <c r="K37" s="3"/>
      <c r="L37" s="3"/>
      <c r="M37" s="3"/>
      <c r="N37" s="5"/>
      <c r="O37" s="3"/>
      <c r="P37" s="3"/>
    </row>
    <row r="38" spans="1:16" ht="26.1" customHeight="1">
      <c r="A38" s="18"/>
      <c r="B38" s="18"/>
      <c r="C38" s="18"/>
      <c r="D38" s="18"/>
      <c r="E38" s="3"/>
      <c r="F38" s="3"/>
      <c r="G38" s="3"/>
      <c r="H38" s="3"/>
      <c r="I38" s="3"/>
      <c r="J38" s="3"/>
      <c r="K38" s="3"/>
      <c r="L38" s="3"/>
      <c r="M38" s="3"/>
      <c r="N38" s="5"/>
      <c r="O38" s="3"/>
      <c r="P38" s="3"/>
    </row>
    <row r="39" spans="1:16" ht="26.1" customHeight="1">
      <c r="A39" s="18"/>
      <c r="B39" s="18"/>
      <c r="C39" s="18"/>
      <c r="D39" s="18"/>
      <c r="E39" s="3"/>
      <c r="F39" s="3"/>
      <c r="G39" s="3"/>
      <c r="H39" s="3"/>
      <c r="I39" s="3"/>
      <c r="J39" s="3"/>
      <c r="K39" s="3"/>
      <c r="L39" s="3"/>
      <c r="M39" s="3"/>
      <c r="N39" s="5"/>
      <c r="O39" s="3"/>
      <c r="P39" s="3"/>
    </row>
    <row r="40" spans="1:16" ht="26.1" customHeight="1">
      <c r="A40" s="18"/>
      <c r="B40" s="18"/>
      <c r="C40" s="18"/>
      <c r="D40" s="18"/>
      <c r="E40" s="3"/>
      <c r="F40" s="3"/>
      <c r="G40" s="3"/>
      <c r="H40" s="3"/>
      <c r="I40" s="3"/>
      <c r="J40" s="3"/>
      <c r="K40" s="3"/>
      <c r="L40" s="3"/>
      <c r="M40" s="3"/>
      <c r="N40" s="5"/>
      <c r="O40" s="3"/>
      <c r="P40" s="3"/>
    </row>
    <row r="41" spans="1:16" ht="26.1" customHeight="1">
      <c r="A41" s="18"/>
      <c r="B41" s="18"/>
      <c r="C41" s="18"/>
      <c r="D41" s="18"/>
      <c r="E41" s="3"/>
      <c r="F41" s="3"/>
      <c r="G41" s="3"/>
      <c r="H41" s="3"/>
      <c r="I41" s="3"/>
      <c r="J41" s="3"/>
      <c r="K41" s="3"/>
      <c r="L41" s="3"/>
      <c r="M41" s="3"/>
      <c r="N41" s="5"/>
      <c r="O41" s="3"/>
      <c r="P41" s="3"/>
    </row>
    <row r="42" spans="1:16" ht="26.1" customHeight="1">
      <c r="A42" s="18"/>
      <c r="B42" s="18"/>
      <c r="C42" s="18"/>
      <c r="D42" s="18"/>
      <c r="E42" s="3"/>
      <c r="F42" s="3"/>
      <c r="G42" s="3"/>
      <c r="H42" s="3"/>
      <c r="I42" s="3"/>
      <c r="J42" s="3"/>
      <c r="K42" s="3"/>
      <c r="L42" s="3"/>
      <c r="M42" s="3"/>
      <c r="N42" s="5"/>
      <c r="O42" s="3"/>
      <c r="P42" s="3"/>
    </row>
    <row r="43" spans="1:16" ht="26.1" customHeight="1">
      <c r="A43" s="18"/>
      <c r="B43" s="18"/>
      <c r="C43" s="18"/>
      <c r="D43" s="18"/>
      <c r="E43" s="3"/>
      <c r="F43" s="3"/>
      <c r="G43" s="3"/>
      <c r="H43" s="3"/>
      <c r="I43" s="3"/>
      <c r="J43" s="3"/>
      <c r="K43" s="3"/>
      <c r="L43" s="3"/>
      <c r="M43" s="3"/>
      <c r="N43" s="5"/>
      <c r="O43" s="3"/>
      <c r="P43" s="3"/>
    </row>
    <row r="44" spans="1:16" ht="26.1" customHeight="1">
      <c r="A44" s="18"/>
      <c r="B44" s="18"/>
      <c r="C44" s="18"/>
      <c r="D44" s="18"/>
      <c r="E44" s="3"/>
      <c r="F44" s="3"/>
      <c r="G44" s="3"/>
      <c r="H44" s="3"/>
      <c r="I44" s="3"/>
      <c r="J44" s="3"/>
      <c r="K44" s="3"/>
      <c r="L44" s="3"/>
      <c r="M44" s="3"/>
      <c r="N44" s="5"/>
      <c r="O44" s="3"/>
      <c r="P44" s="3"/>
    </row>
    <row r="45" spans="1:16" ht="26.1" customHeight="1">
      <c r="A45" s="18"/>
      <c r="B45" s="18"/>
      <c r="C45" s="18"/>
      <c r="D45" s="18"/>
      <c r="E45" s="3"/>
      <c r="F45" s="3"/>
      <c r="G45" s="3"/>
      <c r="H45" s="3"/>
      <c r="I45" s="3"/>
      <c r="J45" s="3"/>
      <c r="K45" s="3"/>
      <c r="L45" s="3"/>
      <c r="M45" s="3"/>
      <c r="N45" s="5"/>
      <c r="O45" s="3"/>
      <c r="P45" s="3"/>
    </row>
    <row r="46" spans="1:16" ht="26.1" customHeight="1">
      <c r="A46" s="18"/>
      <c r="B46" s="18"/>
      <c r="C46" s="18"/>
      <c r="D46" s="18"/>
      <c r="E46" s="3"/>
      <c r="F46" s="3"/>
      <c r="G46" s="3"/>
      <c r="H46" s="3"/>
      <c r="I46" s="3"/>
      <c r="J46" s="3"/>
      <c r="K46" s="3"/>
      <c r="L46" s="3"/>
      <c r="M46" s="3"/>
      <c r="N46" s="5"/>
      <c r="O46" s="3"/>
      <c r="P46" s="3"/>
    </row>
    <row r="47" spans="1:16" ht="26.1" customHeight="1">
      <c r="A47" s="18"/>
      <c r="B47" s="18"/>
      <c r="C47" s="18"/>
      <c r="D47" s="18"/>
      <c r="E47" s="3"/>
      <c r="F47" s="3"/>
      <c r="G47" s="3"/>
      <c r="H47" s="3"/>
      <c r="I47" s="3"/>
      <c r="J47" s="3"/>
      <c r="K47" s="3"/>
      <c r="L47" s="3"/>
      <c r="M47" s="3"/>
      <c r="N47" s="5"/>
      <c r="O47" s="3"/>
      <c r="P47" s="3"/>
    </row>
    <row r="48" spans="1:16" ht="26.1" customHeight="1">
      <c r="A48" s="18"/>
      <c r="B48" s="18"/>
      <c r="C48" s="18"/>
      <c r="D48" s="18"/>
      <c r="E48" s="3"/>
      <c r="F48" s="3"/>
      <c r="G48" s="3"/>
      <c r="H48" s="3"/>
      <c r="I48" s="3"/>
      <c r="J48" s="3"/>
      <c r="K48" s="3"/>
      <c r="L48" s="3"/>
      <c r="M48" s="3"/>
      <c r="N48" s="5"/>
      <c r="O48" s="3"/>
      <c r="P48" s="3"/>
    </row>
    <row r="49" spans="1:16" ht="26.1" customHeight="1">
      <c r="A49" s="18"/>
      <c r="B49" s="18"/>
      <c r="C49" s="18"/>
      <c r="D49" s="18"/>
      <c r="E49" s="3"/>
      <c r="F49" s="3"/>
      <c r="G49" s="3"/>
      <c r="H49" s="3"/>
      <c r="I49" s="3"/>
      <c r="J49" s="3"/>
      <c r="K49" s="3"/>
      <c r="L49" s="3"/>
      <c r="M49" s="3"/>
      <c r="N49" s="5"/>
      <c r="O49" s="3"/>
      <c r="P49" s="3"/>
    </row>
    <row r="50" spans="1:16" ht="26.1" customHeight="1">
      <c r="A50" s="18"/>
      <c r="B50" s="18"/>
      <c r="C50" s="18"/>
      <c r="D50" s="18"/>
      <c r="E50" s="3"/>
      <c r="F50" s="3"/>
      <c r="G50" s="3"/>
      <c r="H50" s="3"/>
      <c r="I50" s="3"/>
      <c r="J50" s="3"/>
      <c r="K50" s="3"/>
      <c r="L50" s="3"/>
      <c r="M50" s="3"/>
      <c r="N50" s="5"/>
      <c r="O50" s="3"/>
      <c r="P50" s="3"/>
    </row>
    <row r="51" spans="1:16" ht="26.1" customHeight="1">
      <c r="A51" s="18"/>
      <c r="B51" s="18"/>
      <c r="C51" s="18"/>
      <c r="D51" s="18"/>
      <c r="E51" s="3"/>
      <c r="F51" s="3"/>
      <c r="G51" s="3"/>
      <c r="H51" s="3"/>
      <c r="I51" s="3"/>
      <c r="J51" s="3"/>
      <c r="K51" s="3"/>
      <c r="L51" s="3"/>
      <c r="M51" s="3"/>
      <c r="N51" s="5"/>
      <c r="O51" s="3"/>
      <c r="P51" s="3"/>
    </row>
    <row r="52" spans="1:16" ht="26.1" customHeight="1">
      <c r="A52" s="18"/>
      <c r="B52" s="18"/>
      <c r="C52" s="18"/>
      <c r="D52" s="18"/>
      <c r="E52" s="3"/>
      <c r="F52" s="3"/>
      <c r="G52" s="3"/>
      <c r="H52" s="3"/>
      <c r="I52" s="3"/>
      <c r="J52" s="3"/>
      <c r="K52" s="3"/>
      <c r="L52" s="3"/>
      <c r="M52" s="3"/>
      <c r="N52" s="5"/>
      <c r="O52" s="3"/>
      <c r="P52" s="3"/>
    </row>
    <row r="53" spans="1:16" ht="26.1" customHeight="1">
      <c r="A53" s="18"/>
      <c r="B53" s="18"/>
      <c r="C53" s="18"/>
      <c r="D53" s="18"/>
      <c r="E53" s="3"/>
      <c r="F53" s="3"/>
      <c r="G53" s="3"/>
      <c r="H53" s="3"/>
      <c r="I53" s="3"/>
      <c r="J53" s="3"/>
      <c r="K53" s="3"/>
      <c r="L53" s="3"/>
      <c r="M53" s="3"/>
      <c r="N53" s="5"/>
      <c r="O53" s="3"/>
      <c r="P53" s="3"/>
    </row>
    <row r="54" spans="1:16" ht="26.1" customHeight="1">
      <c r="A54" s="18"/>
      <c r="B54" s="18"/>
      <c r="C54" s="18"/>
      <c r="D54" s="18"/>
      <c r="E54" s="3"/>
      <c r="F54" s="3"/>
      <c r="G54" s="3"/>
      <c r="H54" s="3"/>
      <c r="I54" s="3"/>
      <c r="J54" s="3"/>
      <c r="K54" s="3"/>
      <c r="L54" s="3"/>
      <c r="M54" s="3"/>
      <c r="N54" s="5"/>
      <c r="O54" s="3"/>
      <c r="P54" s="3"/>
    </row>
    <row r="55" spans="1:16" ht="26.1" customHeight="1">
      <c r="A55" s="18"/>
      <c r="B55" s="18"/>
      <c r="C55" s="18"/>
      <c r="D55" s="18"/>
      <c r="E55" s="3"/>
      <c r="F55" s="3"/>
      <c r="G55" s="3"/>
      <c r="H55" s="3"/>
      <c r="I55" s="3"/>
      <c r="J55" s="3"/>
      <c r="K55" s="3"/>
      <c r="L55" s="3"/>
      <c r="M55" s="3"/>
      <c r="N55" s="5"/>
      <c r="O55" s="3"/>
      <c r="P55" s="3"/>
    </row>
    <row r="56" spans="1:16" ht="26.1" customHeight="1">
      <c r="A56" s="18"/>
      <c r="B56" s="18"/>
      <c r="C56" s="18"/>
      <c r="D56" s="18"/>
      <c r="E56" s="3"/>
      <c r="F56" s="3"/>
      <c r="G56" s="3"/>
      <c r="H56" s="3"/>
      <c r="I56" s="3"/>
      <c r="J56" s="3"/>
      <c r="K56" s="3"/>
      <c r="L56" s="3"/>
      <c r="M56" s="3"/>
      <c r="N56" s="5"/>
      <c r="O56" s="3"/>
      <c r="P56" s="3"/>
    </row>
    <row r="57" spans="1:16" ht="26.1" customHeight="1">
      <c r="A57" s="18"/>
      <c r="B57" s="18"/>
      <c r="C57" s="18"/>
      <c r="D57" s="18"/>
      <c r="E57" s="3"/>
      <c r="F57" s="3"/>
      <c r="G57" s="3"/>
      <c r="H57" s="3"/>
      <c r="I57" s="3"/>
      <c r="J57" s="3"/>
      <c r="K57" s="3"/>
      <c r="L57" s="3"/>
      <c r="M57" s="3"/>
      <c r="N57" s="5"/>
      <c r="O57" s="3"/>
      <c r="P57" s="3"/>
    </row>
    <row r="58" spans="1:16" ht="26.1" customHeight="1">
      <c r="A58" s="18"/>
      <c r="B58" s="18"/>
      <c r="C58" s="18"/>
      <c r="D58" s="18"/>
      <c r="E58" s="3"/>
      <c r="F58" s="3"/>
      <c r="G58" s="3"/>
      <c r="H58" s="3"/>
      <c r="I58" s="3"/>
      <c r="J58" s="3"/>
      <c r="K58" s="3"/>
      <c r="L58" s="3"/>
      <c r="M58" s="3"/>
      <c r="N58" s="5"/>
      <c r="O58" s="3"/>
      <c r="P58" s="3"/>
    </row>
    <row r="59" spans="1:16" ht="26.1" customHeight="1">
      <c r="A59" s="18"/>
      <c r="B59" s="18"/>
      <c r="C59" s="18"/>
      <c r="D59" s="18"/>
      <c r="E59" s="3"/>
      <c r="F59" s="3"/>
      <c r="G59" s="3"/>
      <c r="H59" s="3"/>
      <c r="I59" s="3"/>
      <c r="J59" s="3"/>
      <c r="K59" s="3"/>
      <c r="L59" s="3"/>
      <c r="M59" s="3"/>
      <c r="N59" s="5"/>
      <c r="O59" s="3"/>
      <c r="P59" s="3"/>
    </row>
    <row r="60" spans="1:16" ht="26.1" customHeight="1">
      <c r="A60" s="18"/>
      <c r="B60" s="18"/>
      <c r="C60" s="18"/>
      <c r="D60" s="18"/>
      <c r="E60" s="3"/>
      <c r="F60" s="3"/>
      <c r="G60" s="3"/>
      <c r="H60" s="3"/>
      <c r="I60" s="3"/>
      <c r="J60" s="3"/>
      <c r="K60" s="3"/>
      <c r="L60" s="3"/>
      <c r="M60" s="3"/>
      <c r="N60" s="5"/>
      <c r="O60" s="3"/>
      <c r="P60" s="3"/>
    </row>
    <row r="61" spans="1:16" ht="26.1" customHeight="1">
      <c r="A61" s="18"/>
      <c r="B61" s="18"/>
      <c r="C61" s="18"/>
      <c r="D61" s="18"/>
      <c r="E61" s="3"/>
      <c r="F61" s="3"/>
      <c r="G61" s="3"/>
      <c r="H61" s="3"/>
      <c r="I61" s="3"/>
      <c r="J61" s="3"/>
      <c r="K61" s="3"/>
      <c r="L61" s="3"/>
      <c r="M61" s="3"/>
      <c r="N61" s="5"/>
      <c r="O61" s="3"/>
      <c r="P61" s="3"/>
    </row>
    <row r="62" spans="1:16" ht="26.1" customHeight="1">
      <c r="A62" s="18"/>
      <c r="B62" s="18"/>
      <c r="C62" s="18"/>
      <c r="D62" s="18"/>
      <c r="E62" s="3"/>
      <c r="F62" s="3"/>
      <c r="G62" s="3"/>
      <c r="H62" s="3"/>
      <c r="I62" s="3"/>
      <c r="J62" s="3"/>
      <c r="K62" s="3"/>
      <c r="L62" s="3"/>
      <c r="M62" s="3"/>
      <c r="N62" s="5"/>
      <c r="O62" s="3"/>
      <c r="P62" s="3"/>
    </row>
    <row r="63" spans="1:16" ht="26.1" customHeight="1">
      <c r="A63" s="18"/>
      <c r="B63" s="18"/>
      <c r="C63" s="18"/>
      <c r="D63" s="18"/>
      <c r="E63" s="3"/>
      <c r="F63" s="3"/>
      <c r="G63" s="3"/>
      <c r="H63" s="3"/>
      <c r="I63" s="3"/>
      <c r="J63" s="3"/>
      <c r="K63" s="3"/>
      <c r="L63" s="3"/>
      <c r="M63" s="3"/>
      <c r="N63" s="5"/>
      <c r="O63" s="3"/>
      <c r="P63" s="3"/>
    </row>
    <row r="64" spans="1:16" ht="26.1" customHeight="1">
      <c r="A64" s="18"/>
      <c r="B64" s="18"/>
      <c r="C64" s="18"/>
      <c r="D64" s="18"/>
      <c r="E64" s="3"/>
      <c r="F64" s="3"/>
      <c r="G64" s="3"/>
      <c r="H64" s="3"/>
      <c r="I64" s="3"/>
      <c r="J64" s="3"/>
      <c r="K64" s="3"/>
      <c r="L64" s="3"/>
      <c r="M64" s="3"/>
      <c r="N64" s="5"/>
      <c r="O64" s="3"/>
      <c r="P64" s="3"/>
    </row>
    <row r="65" spans="1:16" ht="26.1" customHeight="1">
      <c r="A65" s="18"/>
      <c r="B65" s="18"/>
      <c r="C65" s="18"/>
      <c r="D65" s="18"/>
      <c r="E65" s="3"/>
      <c r="F65" s="3"/>
      <c r="G65" s="3"/>
      <c r="H65" s="3"/>
      <c r="I65" s="3"/>
      <c r="J65" s="3"/>
      <c r="K65" s="3"/>
      <c r="L65" s="3"/>
      <c r="M65" s="3"/>
      <c r="N65" s="5"/>
      <c r="O65" s="3"/>
      <c r="P65" s="3"/>
    </row>
    <row r="66" spans="1:16" ht="26.1" customHeight="1">
      <c r="A66" s="18"/>
      <c r="B66" s="18"/>
      <c r="C66" s="18"/>
      <c r="D66" s="18"/>
      <c r="E66" s="3"/>
      <c r="F66" s="3"/>
      <c r="G66" s="3"/>
      <c r="H66" s="3"/>
      <c r="I66" s="3"/>
      <c r="J66" s="3"/>
      <c r="K66" s="3"/>
      <c r="L66" s="3"/>
      <c r="M66" s="3"/>
      <c r="N66" s="5"/>
      <c r="O66" s="3"/>
      <c r="P66" s="3"/>
    </row>
    <row r="67" spans="1:16" ht="26.1" customHeight="1">
      <c r="A67" s="18"/>
      <c r="B67" s="18"/>
      <c r="C67" s="18"/>
      <c r="D67" s="18"/>
      <c r="E67" s="3"/>
      <c r="F67" s="3"/>
      <c r="G67" s="3"/>
      <c r="H67" s="3"/>
      <c r="I67" s="3"/>
      <c r="J67" s="3"/>
      <c r="K67" s="3"/>
      <c r="L67" s="3"/>
      <c r="M67" s="3"/>
      <c r="N67" s="5"/>
      <c r="O67" s="3"/>
      <c r="P67" s="3"/>
    </row>
    <row r="68" spans="1:16" ht="26.1" customHeight="1">
      <c r="A68" s="18"/>
      <c r="B68" s="18"/>
      <c r="C68" s="18"/>
      <c r="D68" s="18"/>
      <c r="E68" s="3"/>
      <c r="F68" s="3"/>
      <c r="G68" s="3"/>
      <c r="H68" s="3"/>
      <c r="I68" s="3"/>
      <c r="J68" s="3"/>
      <c r="K68" s="3"/>
      <c r="L68" s="3"/>
      <c r="M68" s="3"/>
      <c r="N68" s="5"/>
      <c r="O68" s="3"/>
      <c r="P68" s="3"/>
    </row>
    <row r="69" spans="1:16" ht="26.1" customHeight="1">
      <c r="A69" s="18"/>
      <c r="B69" s="18"/>
      <c r="C69" s="18"/>
      <c r="D69" s="18"/>
      <c r="E69" s="3"/>
      <c r="F69" s="3"/>
      <c r="G69" s="3"/>
      <c r="H69" s="3"/>
      <c r="I69" s="3"/>
      <c r="J69" s="3"/>
      <c r="K69" s="3"/>
      <c r="L69" s="3"/>
      <c r="M69" s="3"/>
      <c r="N69" s="5"/>
      <c r="O69" s="3"/>
      <c r="P69" s="3"/>
    </row>
    <row r="70" spans="1:16" ht="26.1" customHeight="1">
      <c r="A70" s="18"/>
      <c r="B70" s="18"/>
      <c r="C70" s="18"/>
      <c r="D70" s="18"/>
      <c r="E70" s="3"/>
      <c r="F70" s="3"/>
      <c r="G70" s="3"/>
      <c r="H70" s="3"/>
      <c r="I70" s="3"/>
      <c r="J70" s="3"/>
      <c r="K70" s="3"/>
      <c r="L70" s="3"/>
      <c r="M70" s="3"/>
      <c r="N70" s="5"/>
      <c r="O70" s="3"/>
      <c r="P70" s="3"/>
    </row>
    <row r="71" spans="1:16" ht="26.1" customHeight="1">
      <c r="A71" s="18"/>
      <c r="B71" s="18"/>
      <c r="C71" s="18"/>
      <c r="D71" s="18"/>
      <c r="E71" s="3"/>
      <c r="F71" s="3"/>
      <c r="G71" s="3"/>
      <c r="H71" s="3"/>
      <c r="I71" s="3"/>
      <c r="J71" s="3"/>
      <c r="K71" s="3"/>
      <c r="L71" s="3"/>
      <c r="M71" s="3"/>
      <c r="N71" s="5"/>
      <c r="O71" s="3"/>
      <c r="P71" s="3"/>
    </row>
    <row r="72" spans="1:16" ht="26.1" customHeight="1">
      <c r="A72" s="18"/>
      <c r="B72" s="18"/>
      <c r="C72" s="18"/>
      <c r="D72" s="18"/>
      <c r="E72" s="3"/>
      <c r="F72" s="3"/>
      <c r="G72" s="3"/>
      <c r="H72" s="3"/>
      <c r="I72" s="3"/>
      <c r="J72" s="3"/>
      <c r="K72" s="3"/>
      <c r="L72" s="3"/>
      <c r="M72" s="3"/>
      <c r="N72" s="5"/>
      <c r="O72" s="3"/>
      <c r="P72" s="3"/>
    </row>
    <row r="73" spans="1:16" ht="26.1" customHeight="1">
      <c r="A73" s="18"/>
      <c r="B73" s="18"/>
      <c r="C73" s="18"/>
      <c r="D73" s="18"/>
      <c r="E73" s="3"/>
      <c r="F73" s="3"/>
      <c r="G73" s="3"/>
      <c r="H73" s="3"/>
      <c r="I73" s="3"/>
      <c r="J73" s="3"/>
      <c r="K73" s="3"/>
      <c r="L73" s="3"/>
      <c r="M73" s="3"/>
      <c r="N73" s="5"/>
      <c r="O73" s="3"/>
      <c r="P73" s="3"/>
    </row>
    <row r="74" spans="1:16" ht="26.1" customHeight="1">
      <c r="A74" s="18"/>
      <c r="B74" s="18"/>
      <c r="C74" s="18"/>
      <c r="D74" s="18"/>
      <c r="E74" s="3"/>
      <c r="F74" s="3"/>
      <c r="G74" s="3"/>
      <c r="H74" s="3"/>
      <c r="I74" s="3"/>
      <c r="J74" s="3"/>
      <c r="K74" s="3"/>
      <c r="L74" s="3"/>
      <c r="M74" s="3"/>
      <c r="N74" s="5"/>
      <c r="O74" s="3"/>
      <c r="P74" s="3"/>
    </row>
    <row r="75" spans="1:16" ht="26.1" customHeight="1">
      <c r="A75" s="18"/>
      <c r="B75" s="18"/>
      <c r="C75" s="18"/>
      <c r="D75" s="18"/>
      <c r="E75" s="3"/>
      <c r="F75" s="3"/>
      <c r="G75" s="3"/>
      <c r="H75" s="3"/>
      <c r="I75" s="3"/>
      <c r="J75" s="3"/>
      <c r="K75" s="3"/>
      <c r="L75" s="3"/>
      <c r="M75" s="3"/>
      <c r="N75" s="5"/>
      <c r="O75" s="3"/>
      <c r="P75" s="3"/>
    </row>
    <row r="76" spans="1:16" ht="26.1" customHeight="1">
      <c r="A76" s="18"/>
      <c r="B76" s="18"/>
      <c r="C76" s="18"/>
      <c r="D76" s="18"/>
      <c r="E76" s="3"/>
      <c r="F76" s="3"/>
      <c r="G76" s="3"/>
      <c r="H76" s="3"/>
      <c r="I76" s="3"/>
      <c r="J76" s="3"/>
      <c r="K76" s="3"/>
      <c r="L76" s="3"/>
      <c r="M76" s="3"/>
      <c r="N76" s="5"/>
      <c r="O76" s="3"/>
      <c r="P76" s="3"/>
    </row>
    <row r="77" spans="1:16" ht="26.1" customHeight="1">
      <c r="A77" s="18"/>
      <c r="B77" s="18"/>
      <c r="C77" s="18"/>
      <c r="D77" s="18"/>
      <c r="E77" s="3"/>
      <c r="F77" s="3"/>
      <c r="G77" s="3"/>
      <c r="H77" s="3"/>
      <c r="I77" s="3"/>
      <c r="J77" s="3"/>
      <c r="K77" s="3"/>
      <c r="L77" s="3"/>
      <c r="M77" s="3"/>
      <c r="N77" s="5"/>
      <c r="O77" s="3"/>
      <c r="P77" s="3"/>
    </row>
    <row r="78" spans="1:16" ht="26.1" customHeight="1">
      <c r="A78" s="18"/>
      <c r="B78" s="18"/>
      <c r="C78" s="18"/>
      <c r="D78" s="18"/>
      <c r="E78" s="3"/>
      <c r="F78" s="3"/>
      <c r="G78" s="3"/>
      <c r="H78" s="3"/>
      <c r="I78" s="3"/>
      <c r="J78" s="3"/>
      <c r="K78" s="3"/>
      <c r="L78" s="3"/>
      <c r="M78" s="3"/>
      <c r="N78" s="5"/>
      <c r="O78" s="3"/>
      <c r="P78" s="3"/>
    </row>
    <row r="79" spans="1:16" ht="26.1" customHeight="1">
      <c r="A79" s="18"/>
      <c r="B79" s="18"/>
      <c r="C79" s="18"/>
      <c r="D79" s="18"/>
      <c r="E79" s="3"/>
      <c r="F79" s="3"/>
      <c r="G79" s="3"/>
      <c r="H79" s="3"/>
      <c r="I79" s="3"/>
      <c r="J79" s="3"/>
      <c r="K79" s="3"/>
      <c r="L79" s="3"/>
      <c r="M79" s="3"/>
      <c r="N79" s="5"/>
      <c r="O79" s="3"/>
      <c r="P79" s="3"/>
    </row>
    <row r="80" spans="1:16" ht="26.1" customHeight="1">
      <c r="A80" s="18"/>
      <c r="B80" s="18"/>
      <c r="C80" s="18"/>
      <c r="D80" s="18"/>
      <c r="E80" s="3"/>
      <c r="F80" s="3"/>
      <c r="G80" s="3"/>
      <c r="H80" s="3"/>
      <c r="I80" s="3"/>
      <c r="J80" s="3"/>
      <c r="K80" s="3"/>
      <c r="L80" s="3"/>
      <c r="M80" s="3"/>
      <c r="N80" s="5"/>
      <c r="O80" s="3"/>
      <c r="P80" s="3"/>
    </row>
    <row r="81" spans="1:16" ht="26.1" customHeight="1">
      <c r="A81" s="18"/>
      <c r="B81" s="18"/>
      <c r="C81" s="18"/>
      <c r="D81" s="18"/>
      <c r="E81" s="3"/>
      <c r="F81" s="3"/>
      <c r="G81" s="3"/>
      <c r="H81" s="3"/>
      <c r="I81" s="3"/>
      <c r="J81" s="3"/>
      <c r="K81" s="3"/>
      <c r="L81" s="3"/>
      <c r="M81" s="3"/>
      <c r="N81" s="5"/>
      <c r="O81" s="3"/>
      <c r="P81" s="3"/>
    </row>
    <row r="82" spans="1:16" ht="26.1" customHeight="1">
      <c r="A82" s="18"/>
      <c r="B82" s="18"/>
      <c r="C82" s="18"/>
      <c r="D82" s="18"/>
      <c r="E82" s="3"/>
      <c r="F82" s="3"/>
      <c r="G82" s="3"/>
      <c r="H82" s="3"/>
      <c r="I82" s="3"/>
      <c r="J82" s="3"/>
      <c r="K82" s="3"/>
      <c r="L82" s="3"/>
      <c r="M82" s="3"/>
      <c r="N82" s="5"/>
      <c r="O82" s="3"/>
      <c r="P82" s="3"/>
    </row>
    <row r="83" spans="1:16" ht="26.1" customHeight="1">
      <c r="A83" s="18"/>
      <c r="B83" s="18"/>
      <c r="C83" s="18"/>
      <c r="D83" s="18"/>
      <c r="E83" s="3"/>
      <c r="F83" s="3"/>
      <c r="G83" s="3"/>
      <c r="H83" s="3"/>
      <c r="I83" s="3"/>
      <c r="J83" s="3"/>
      <c r="K83" s="3"/>
      <c r="L83" s="3"/>
      <c r="M83" s="3"/>
      <c r="N83" s="5"/>
      <c r="O83" s="3"/>
      <c r="P83" s="3"/>
    </row>
    <row r="84" spans="1:16" ht="26.1" customHeight="1">
      <c r="A84" s="18"/>
      <c r="B84" s="18"/>
      <c r="C84" s="18"/>
      <c r="D84" s="18"/>
      <c r="E84" s="3"/>
      <c r="F84" s="3"/>
      <c r="G84" s="3"/>
      <c r="H84" s="3"/>
      <c r="I84" s="3"/>
      <c r="J84" s="3"/>
      <c r="K84" s="3"/>
      <c r="L84" s="3"/>
      <c r="M84" s="3"/>
      <c r="N84" s="5"/>
      <c r="O84" s="3"/>
      <c r="P84" s="3"/>
    </row>
    <row r="85" spans="1:16" ht="26.1" customHeight="1">
      <c r="A85" s="18"/>
      <c r="B85" s="18"/>
      <c r="C85" s="18"/>
      <c r="D85" s="18"/>
      <c r="E85" s="3"/>
      <c r="F85" s="3"/>
      <c r="G85" s="3"/>
      <c r="H85" s="3"/>
      <c r="I85" s="3"/>
      <c r="J85" s="3"/>
      <c r="K85" s="3"/>
      <c r="L85" s="3"/>
      <c r="M85" s="3"/>
      <c r="N85" s="5"/>
      <c r="O85" s="3"/>
      <c r="P85" s="3"/>
    </row>
    <row r="86" spans="1:16" ht="26.1" customHeight="1">
      <c r="A86" s="18"/>
      <c r="B86" s="18"/>
      <c r="C86" s="18"/>
      <c r="D86" s="18"/>
      <c r="E86" s="3"/>
      <c r="F86" s="3"/>
      <c r="G86" s="3"/>
      <c r="H86" s="3"/>
      <c r="I86" s="3"/>
      <c r="J86" s="3"/>
      <c r="K86" s="3"/>
      <c r="L86" s="3"/>
      <c r="M86" s="3"/>
      <c r="N86" s="5"/>
      <c r="O86" s="3"/>
      <c r="P86" s="3"/>
    </row>
    <row r="87" spans="1:16" ht="26.1" customHeight="1">
      <c r="A87" s="18"/>
      <c r="B87" s="18"/>
      <c r="C87" s="18"/>
      <c r="D87" s="18"/>
      <c r="E87" s="3"/>
      <c r="F87" s="3"/>
      <c r="G87" s="3"/>
      <c r="H87" s="3"/>
      <c r="I87" s="3"/>
      <c r="J87" s="3"/>
      <c r="K87" s="3"/>
      <c r="L87" s="3"/>
      <c r="M87" s="3"/>
      <c r="N87" s="5"/>
      <c r="O87" s="3"/>
      <c r="P87" s="3"/>
    </row>
    <row r="88" spans="1:16" ht="26.1" customHeight="1">
      <c r="A88" s="18"/>
      <c r="B88" s="18"/>
      <c r="C88" s="18"/>
      <c r="D88" s="18"/>
      <c r="E88" s="3"/>
      <c r="F88" s="3"/>
      <c r="G88" s="3"/>
      <c r="H88" s="3"/>
      <c r="I88" s="3"/>
      <c r="J88" s="3"/>
      <c r="K88" s="3"/>
      <c r="L88" s="3"/>
      <c r="M88" s="3"/>
      <c r="N88" s="5"/>
      <c r="O88" s="3"/>
      <c r="P88" s="3"/>
    </row>
    <row r="89" spans="1:16" ht="26.1" customHeight="1">
      <c r="A89" s="18"/>
      <c r="B89" s="18"/>
      <c r="C89" s="18"/>
      <c r="D89" s="18"/>
      <c r="E89" s="3"/>
      <c r="F89" s="3"/>
      <c r="G89" s="3"/>
      <c r="H89" s="3"/>
      <c r="I89" s="3"/>
      <c r="J89" s="3"/>
      <c r="K89" s="3"/>
      <c r="L89" s="3"/>
      <c r="M89" s="3"/>
      <c r="N89" s="5"/>
      <c r="O89" s="3"/>
      <c r="P89" s="3"/>
    </row>
    <row r="90" spans="1:16" ht="26.1" customHeight="1">
      <c r="A90" s="18"/>
      <c r="B90" s="18"/>
      <c r="C90" s="18"/>
      <c r="D90" s="18"/>
      <c r="E90" s="3"/>
      <c r="F90" s="3"/>
      <c r="G90" s="3"/>
      <c r="H90" s="3"/>
      <c r="I90" s="3"/>
      <c r="J90" s="3"/>
      <c r="K90" s="3"/>
      <c r="L90" s="3"/>
      <c r="M90" s="3"/>
      <c r="N90" s="5"/>
      <c r="O90" s="3"/>
      <c r="P90" s="3"/>
    </row>
    <row r="91" spans="1:16" ht="26.1" customHeight="1">
      <c r="A91" s="18"/>
      <c r="B91" s="18"/>
      <c r="C91" s="18"/>
      <c r="D91" s="18"/>
      <c r="E91" s="3"/>
      <c r="F91" s="3"/>
      <c r="G91" s="3"/>
      <c r="H91" s="3"/>
      <c r="I91" s="3"/>
      <c r="J91" s="3"/>
      <c r="K91" s="3"/>
      <c r="L91" s="3"/>
      <c r="M91" s="3"/>
      <c r="N91" s="5"/>
      <c r="O91" s="3"/>
      <c r="P91" s="3"/>
    </row>
    <row r="92" spans="1:16" ht="26.1" customHeight="1">
      <c r="A92" s="18"/>
      <c r="B92" s="18"/>
      <c r="C92" s="18"/>
      <c r="D92" s="18"/>
      <c r="E92" s="3"/>
      <c r="F92" s="3"/>
      <c r="G92" s="3"/>
      <c r="H92" s="3"/>
      <c r="I92" s="3"/>
      <c r="J92" s="3"/>
      <c r="K92" s="3"/>
      <c r="L92" s="3"/>
      <c r="M92" s="3"/>
      <c r="N92" s="5"/>
      <c r="O92" s="3"/>
      <c r="P92" s="3"/>
    </row>
    <row r="93" spans="1:16" ht="26.1" customHeight="1">
      <c r="A93" s="18"/>
      <c r="B93" s="18"/>
      <c r="C93" s="18"/>
      <c r="D93" s="18"/>
      <c r="E93" s="3"/>
      <c r="F93" s="3"/>
      <c r="G93" s="3"/>
      <c r="H93" s="3"/>
      <c r="I93" s="3"/>
      <c r="J93" s="3"/>
      <c r="K93" s="3"/>
      <c r="L93" s="3"/>
      <c r="M93" s="3"/>
      <c r="N93" s="5"/>
      <c r="O93" s="3"/>
      <c r="P93" s="3"/>
    </row>
    <row r="94" spans="1:16" ht="26.1" customHeight="1">
      <c r="A94" s="18"/>
      <c r="B94" s="18"/>
      <c r="C94" s="18"/>
      <c r="D94" s="18"/>
      <c r="E94" s="3"/>
      <c r="F94" s="3"/>
      <c r="G94" s="3"/>
      <c r="H94" s="3"/>
      <c r="I94" s="3"/>
      <c r="J94" s="3"/>
      <c r="K94" s="3"/>
      <c r="L94" s="3"/>
      <c r="M94" s="3"/>
      <c r="N94" s="5"/>
      <c r="O94" s="3"/>
      <c r="P94" s="3"/>
    </row>
    <row r="95" spans="1:16" ht="26.1" customHeight="1">
      <c r="A95" s="18"/>
      <c r="B95" s="18"/>
      <c r="C95" s="18"/>
      <c r="D95" s="18"/>
      <c r="E95" s="3"/>
      <c r="F95" s="3"/>
      <c r="G95" s="3"/>
      <c r="H95" s="3"/>
      <c r="I95" s="3"/>
      <c r="J95" s="3"/>
      <c r="K95" s="3"/>
      <c r="L95" s="3"/>
      <c r="M95" s="3"/>
      <c r="N95" s="5"/>
      <c r="O95" s="3"/>
      <c r="P95" s="3"/>
    </row>
    <row r="96" spans="1:16" ht="26.1" customHeight="1">
      <c r="A96" s="18"/>
      <c r="B96" s="18"/>
      <c r="C96" s="18"/>
      <c r="D96" s="18"/>
      <c r="E96" s="3"/>
      <c r="F96" s="3"/>
      <c r="G96" s="3"/>
      <c r="H96" s="3"/>
      <c r="I96" s="3"/>
      <c r="J96" s="3"/>
      <c r="K96" s="3"/>
      <c r="L96" s="3"/>
      <c r="M96" s="3"/>
      <c r="N96" s="5"/>
      <c r="O96" s="3"/>
      <c r="P96" s="3"/>
    </row>
    <row r="97" spans="1:16" ht="26.1" customHeight="1">
      <c r="A97" s="18"/>
      <c r="B97" s="18"/>
      <c r="C97" s="18"/>
      <c r="D97" s="18"/>
      <c r="E97" s="3"/>
      <c r="F97" s="3"/>
      <c r="G97" s="3"/>
      <c r="H97" s="3"/>
      <c r="I97" s="3"/>
      <c r="J97" s="3"/>
      <c r="K97" s="3"/>
      <c r="L97" s="3"/>
      <c r="M97" s="3"/>
      <c r="N97" s="5"/>
      <c r="O97" s="3"/>
      <c r="P97" s="3"/>
    </row>
    <row r="98" spans="1:16" ht="26.1" customHeight="1">
      <c r="A98" s="18"/>
      <c r="B98" s="18"/>
      <c r="C98" s="18"/>
      <c r="D98" s="18"/>
      <c r="E98" s="3"/>
      <c r="F98" s="3"/>
      <c r="G98" s="3"/>
      <c r="H98" s="3"/>
      <c r="I98" s="3"/>
      <c r="J98" s="3"/>
      <c r="K98" s="3"/>
      <c r="L98" s="3"/>
      <c r="M98" s="3"/>
      <c r="N98" s="5"/>
      <c r="O98" s="3"/>
      <c r="P98" s="3"/>
    </row>
    <row r="99" spans="1:16" ht="26.1" customHeight="1">
      <c r="A99" s="18"/>
      <c r="B99" s="18"/>
      <c r="C99" s="18"/>
      <c r="D99" s="18"/>
      <c r="E99" s="3"/>
      <c r="F99" s="3"/>
      <c r="G99" s="3"/>
      <c r="H99" s="3"/>
      <c r="I99" s="3"/>
      <c r="J99" s="3"/>
      <c r="K99" s="3"/>
      <c r="L99" s="3"/>
      <c r="M99" s="3"/>
      <c r="N99" s="5"/>
      <c r="O99" s="3"/>
      <c r="P99" s="3"/>
    </row>
    <row r="100" spans="1:16" ht="26.1" customHeight="1">
      <c r="A100" s="18"/>
      <c r="B100" s="18"/>
      <c r="C100" s="18"/>
      <c r="D100" s="18"/>
      <c r="E100" s="3"/>
      <c r="F100" s="3"/>
      <c r="G100" s="3"/>
      <c r="H100" s="3"/>
      <c r="I100" s="3"/>
      <c r="J100" s="3"/>
      <c r="K100" s="3"/>
      <c r="L100" s="3"/>
      <c r="M100" s="3"/>
      <c r="N100" s="5"/>
      <c r="O100" s="3"/>
      <c r="P100" s="3"/>
    </row>
    <row r="101" spans="1:16" ht="26.1" customHeight="1">
      <c r="A101" s="18"/>
      <c r="B101" s="18"/>
      <c r="C101" s="18"/>
      <c r="D101" s="18"/>
      <c r="E101" s="3"/>
      <c r="F101" s="3"/>
      <c r="G101" s="3"/>
      <c r="H101" s="3"/>
      <c r="I101" s="3"/>
      <c r="J101" s="3"/>
      <c r="K101" s="3"/>
      <c r="L101" s="3"/>
      <c r="M101" s="3"/>
      <c r="N101" s="5"/>
      <c r="O101" s="3"/>
      <c r="P101" s="3"/>
    </row>
    <row r="102" spans="1:16" ht="26.1" customHeight="1">
      <c r="A102" s="18"/>
      <c r="B102" s="18"/>
      <c r="C102" s="18"/>
      <c r="D102" s="18"/>
      <c r="E102" s="3"/>
      <c r="F102" s="3"/>
      <c r="G102" s="3"/>
      <c r="H102" s="3"/>
      <c r="I102" s="3"/>
      <c r="J102" s="3"/>
      <c r="K102" s="3"/>
      <c r="L102" s="3"/>
      <c r="M102" s="3"/>
      <c r="N102" s="5"/>
      <c r="O102" s="3"/>
      <c r="P102" s="3"/>
    </row>
    <row r="103" spans="1:16" ht="26.1" customHeight="1">
      <c r="A103" s="18"/>
      <c r="B103" s="18"/>
      <c r="C103" s="18"/>
      <c r="D103" s="18"/>
      <c r="E103" s="3"/>
      <c r="F103" s="3"/>
      <c r="G103" s="3"/>
      <c r="H103" s="3"/>
      <c r="I103" s="3"/>
      <c r="J103" s="3"/>
      <c r="K103" s="3"/>
      <c r="L103" s="3"/>
      <c r="M103" s="3"/>
      <c r="N103" s="5"/>
      <c r="O103" s="3"/>
      <c r="P103" s="3"/>
    </row>
    <row r="104" spans="1:16" ht="26.1" customHeight="1">
      <c r="A104" s="18"/>
      <c r="B104" s="18"/>
      <c r="C104" s="18"/>
      <c r="D104" s="18"/>
      <c r="E104" s="3"/>
      <c r="F104" s="3"/>
      <c r="G104" s="3"/>
      <c r="H104" s="3"/>
      <c r="I104" s="3"/>
      <c r="J104" s="3"/>
      <c r="K104" s="3"/>
      <c r="L104" s="3"/>
      <c r="M104" s="3"/>
      <c r="N104" s="5"/>
      <c r="O104" s="3"/>
      <c r="P104" s="3"/>
    </row>
    <row r="105" spans="1:16" ht="26.1" customHeight="1">
      <c r="A105" s="18"/>
      <c r="B105" s="18"/>
      <c r="C105" s="18"/>
      <c r="D105" s="18"/>
      <c r="E105" s="3"/>
      <c r="F105" s="3"/>
      <c r="G105" s="3"/>
      <c r="H105" s="3"/>
      <c r="I105" s="3"/>
      <c r="J105" s="3"/>
      <c r="K105" s="3"/>
      <c r="L105" s="3"/>
      <c r="M105" s="3"/>
      <c r="N105" s="5"/>
      <c r="O105" s="3"/>
      <c r="P105" s="3"/>
    </row>
    <row r="106" spans="1:16" ht="26.1" customHeight="1">
      <c r="A106" s="18"/>
      <c r="B106" s="18"/>
      <c r="C106" s="18"/>
      <c r="D106" s="18"/>
      <c r="E106" s="3"/>
      <c r="F106" s="3"/>
      <c r="G106" s="3"/>
      <c r="H106" s="3"/>
      <c r="I106" s="3"/>
      <c r="J106" s="3"/>
      <c r="K106" s="3"/>
      <c r="L106" s="3"/>
      <c r="M106" s="3"/>
      <c r="N106" s="5"/>
      <c r="O106" s="3"/>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conditionalFormatting sqref="E7:E106">
    <cfRule type="expression" dxfId="15" priority="1">
      <formula>AND(E7&lt;&gt;"",COUNTIFS($E$7:$E$106,E7)&gt;1)</formula>
    </cfRule>
  </conditionalFormatting>
  <conditionalFormatting sqref="J7:K106">
    <cfRule type="cellIs" dxfId="14" priority="2" operator="equal">
      <formula>"Effective"</formula>
    </cfRule>
    <cfRule type="cellIs" dxfId="13" priority="3" operator="equal">
      <formula>"Partially effective"</formula>
    </cfRule>
    <cfRule type="cellIs" dxfId="12" priority="4" operator="equal">
      <formula>"Ineffective"</formula>
    </cfRule>
    <cfRule type="cellIs" dxfId="11" priority="5" operator="equal">
      <formula>"Not assessed"</formula>
    </cfRule>
  </conditionalFormatting>
  <conditionalFormatting sqref="O7:O106">
    <cfRule type="cellIs" dxfId="10" priority="6" operator="equal">
      <formula>"Pending validation"</formula>
    </cfRule>
    <cfRule type="cellIs" dxfId="9" priority="7" operator="equal">
      <formula>"Validated"</formula>
    </cfRule>
    <cfRule type="cellIs" dxfId="8" priority="8" operator="equal">
      <formula>"Rejected"</formula>
    </cfRule>
  </conditionalFormatting>
  <dataValidations count="3">
    <dataValidation type="list" allowBlank="1" showErrorMessage="1" errorTitle="Select an allowed option" error="Choose a dropdown value or leave an unknown input blank." sqref="J7:K106" xr:uid="{00000000-0002-0000-0200-000000000000}">
      <formula1>"Not assessed,Effective,Partially effective,Ineffective,Not applicable"</formula1>
    </dataValidation>
    <dataValidation type="list" allowBlank="1" showErrorMessage="1" errorTitle="Select an allowed option" error="Choose a dropdown value or leave an unknown input blank." sqref="O7:O106" xr:uid="{00000000-0002-0000-0200-000001000000}">
      <formula1>"Pending validation,Validated,Rejected"</formula1>
    </dataValidation>
    <dataValidation type="list" allowBlank="1" showErrorMessage="1" errorTitle="Select an allowed option" error="Choose a dropdown value or leave an unknown input blank." sqref="F7:F106" xr:uid="{00000000-0002-0000-0200-000002000000}">
      <formula1>RiskIDs</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2F47"/>
  </sheetPr>
  <dimension ref="A1:R110"/>
  <sheetViews>
    <sheetView showGridLines="0" showRowColHeaders="0" zoomScale="75" workbookViewId="0">
      <pane xSplit="6" ySplit="6" topLeftCell="G7" activePane="bottomRight" state="frozen"/>
      <selection pane="topRight"/>
      <selection pane="bottomLeft"/>
      <selection pane="bottomRight"/>
    </sheetView>
  </sheetViews>
  <sheetFormatPr defaultRowHeight="14.25"/>
  <cols>
    <col min="1" max="4" width="7.25" customWidth="1"/>
    <col min="5" max="5" width="15" customWidth="1"/>
    <col min="6" max="6" width="13" customWidth="1"/>
    <col min="7" max="7" width="15" customWidth="1"/>
    <col min="8" max="8" width="45" customWidth="1"/>
    <col min="9" max="9" width="46" customWidth="1"/>
    <col min="10" max="10" width="26" customWidth="1"/>
    <col min="11" max="13" width="18" customWidth="1"/>
    <col min="14" max="14" width="23" customWidth="1"/>
    <col min="15" max="15" width="40" customWidth="1"/>
    <col min="16" max="16" width="24" customWidth="1"/>
    <col min="17" max="17" width="22" customWidth="1"/>
    <col min="18" max="18" width="48" customWidth="1"/>
  </cols>
  <sheetData>
    <row r="1" spans="1:18" ht="28.5" customHeight="1">
      <c r="A1" s="18"/>
      <c r="B1" s="18"/>
      <c r="C1" s="18"/>
      <c r="D1" s="18"/>
      <c r="E1" s="14"/>
      <c r="F1" s="14"/>
      <c r="G1" s="14"/>
      <c r="H1" s="14"/>
      <c r="I1" s="14"/>
      <c r="J1" s="14"/>
      <c r="K1" s="14"/>
      <c r="L1" s="14"/>
      <c r="M1" s="14"/>
      <c r="N1" s="14"/>
      <c r="O1" s="14"/>
      <c r="P1" s="14"/>
      <c r="Q1" s="14"/>
      <c r="R1" s="14"/>
    </row>
    <row r="2" spans="1:18" ht="28.5" customHeight="1">
      <c r="A2" s="18"/>
      <c r="B2" s="18"/>
      <c r="C2" s="18"/>
      <c r="D2" s="18"/>
      <c r="E2" s="14"/>
      <c r="F2" s="14"/>
      <c r="G2" s="14"/>
      <c r="H2" s="14"/>
      <c r="I2" s="14"/>
      <c r="J2" s="14"/>
      <c r="K2" s="14"/>
      <c r="L2" s="14"/>
      <c r="M2" s="14"/>
      <c r="N2" s="14"/>
      <c r="O2" s="14"/>
      <c r="P2" s="14"/>
      <c r="Q2" s="14"/>
      <c r="R2" s="14"/>
    </row>
    <row r="3" spans="1:18" ht="15" customHeight="1">
      <c r="A3" s="18"/>
      <c r="B3" s="18"/>
      <c r="C3" s="18"/>
      <c r="D3" s="18"/>
      <c r="E3" s="15"/>
      <c r="F3" s="15"/>
      <c r="G3" s="15"/>
      <c r="H3" s="15"/>
      <c r="I3" s="15"/>
      <c r="J3" s="15"/>
      <c r="K3" s="15"/>
      <c r="L3" s="15"/>
      <c r="M3" s="15"/>
      <c r="N3" s="15"/>
      <c r="O3" s="15"/>
      <c r="P3" s="15"/>
      <c r="Q3" s="15"/>
      <c r="R3" s="15"/>
    </row>
    <row r="4" spans="1:18" ht="15" customHeight="1">
      <c r="A4" s="18"/>
      <c r="B4" s="18"/>
      <c r="C4" s="18"/>
      <c r="D4" s="18"/>
      <c r="E4" s="15"/>
      <c r="F4" s="15"/>
      <c r="G4" s="15"/>
      <c r="H4" s="15"/>
      <c r="I4" s="15"/>
      <c r="J4" s="15"/>
      <c r="K4" s="15"/>
      <c r="L4" s="15"/>
      <c r="M4" s="15"/>
      <c r="N4" s="15"/>
      <c r="O4" s="15"/>
      <c r="P4" s="15"/>
      <c r="Q4" s="15"/>
      <c r="R4" s="15"/>
    </row>
    <row r="5" spans="1:18" ht="21" customHeight="1">
      <c r="A5" s="18"/>
      <c r="B5" s="18"/>
      <c r="C5" s="18"/>
      <c r="D5" s="18"/>
      <c r="E5" s="19" t="s">
        <v>146</v>
      </c>
      <c r="F5" s="19"/>
      <c r="G5" s="19"/>
      <c r="H5" s="19"/>
      <c r="I5" s="19"/>
      <c r="J5" s="19"/>
      <c r="K5" s="19"/>
      <c r="L5" s="19"/>
      <c r="M5" s="19"/>
      <c r="N5" s="19"/>
      <c r="O5" s="19"/>
      <c r="P5" s="19"/>
      <c r="Q5" s="19"/>
      <c r="R5" s="19"/>
    </row>
    <row r="6" spans="1:18" ht="45.95" customHeight="1">
      <c r="A6" s="18"/>
      <c r="B6" s="18"/>
      <c r="C6" s="18"/>
      <c r="D6" s="18"/>
      <c r="E6" s="2" t="s">
        <v>47</v>
      </c>
      <c r="F6" s="2" t="s">
        <v>0</v>
      </c>
      <c r="G6" s="2" t="s">
        <v>32</v>
      </c>
      <c r="H6" s="2" t="s">
        <v>48</v>
      </c>
      <c r="I6" s="2" t="s">
        <v>49</v>
      </c>
      <c r="J6" s="2" t="s">
        <v>50</v>
      </c>
      <c r="K6" s="2" t="s">
        <v>51</v>
      </c>
      <c r="L6" s="2" t="s">
        <v>52</v>
      </c>
      <c r="M6" s="2" t="s">
        <v>53</v>
      </c>
      <c r="N6" s="2" t="s">
        <v>54</v>
      </c>
      <c r="O6" s="2" t="s">
        <v>55</v>
      </c>
      <c r="P6" s="2" t="s">
        <v>56</v>
      </c>
      <c r="Q6" s="2" t="s">
        <v>12</v>
      </c>
      <c r="R6" s="2" t="s">
        <v>57</v>
      </c>
    </row>
    <row r="7" spans="1:18" ht="117.95" customHeight="1">
      <c r="A7" s="18"/>
      <c r="B7" s="18"/>
      <c r="C7" s="18"/>
      <c r="D7" s="18"/>
      <c r="E7" s="3" t="s">
        <v>58</v>
      </c>
      <c r="F7" s="3" t="s">
        <v>21</v>
      </c>
      <c r="G7" s="3" t="s">
        <v>41</v>
      </c>
      <c r="H7" s="3" t="s">
        <v>59</v>
      </c>
      <c r="I7" s="3" t="s">
        <v>60</v>
      </c>
      <c r="J7" s="3"/>
      <c r="K7" s="5"/>
      <c r="L7" s="5"/>
      <c r="M7" s="5"/>
      <c r="N7" s="3" t="s">
        <v>61</v>
      </c>
      <c r="O7" s="3"/>
      <c r="P7" s="3"/>
      <c r="Q7" s="3" t="s">
        <v>29</v>
      </c>
      <c r="R7" s="3" t="s">
        <v>62</v>
      </c>
    </row>
    <row r="8" spans="1:18" ht="26.1" customHeight="1">
      <c r="A8" s="18"/>
      <c r="B8" s="18"/>
      <c r="C8" s="18"/>
      <c r="D8" s="18"/>
      <c r="E8" s="3"/>
      <c r="F8" s="3"/>
      <c r="G8" s="3"/>
      <c r="H8" s="3"/>
      <c r="I8" s="3"/>
      <c r="J8" s="3"/>
      <c r="K8" s="5"/>
      <c r="L8" s="5"/>
      <c r="M8" s="5"/>
      <c r="N8" s="3"/>
      <c r="O8" s="3"/>
      <c r="P8" s="3"/>
      <c r="Q8" s="3"/>
      <c r="R8" s="3"/>
    </row>
    <row r="9" spans="1:18" ht="26.1" customHeight="1">
      <c r="A9" s="18"/>
      <c r="B9" s="18"/>
      <c r="C9" s="18"/>
      <c r="D9" s="18"/>
      <c r="E9" s="3"/>
      <c r="F9" s="3"/>
      <c r="G9" s="3"/>
      <c r="H9" s="3"/>
      <c r="I9" s="3"/>
      <c r="J9" s="3"/>
      <c r="K9" s="5"/>
      <c r="L9" s="5"/>
      <c r="M9" s="5"/>
      <c r="N9" s="3"/>
      <c r="O9" s="3"/>
      <c r="P9" s="3"/>
      <c r="Q9" s="3"/>
      <c r="R9" s="3"/>
    </row>
    <row r="10" spans="1:18" ht="26.1" customHeight="1">
      <c r="A10" s="18"/>
      <c r="B10" s="18"/>
      <c r="C10" s="18"/>
      <c r="D10" s="18"/>
      <c r="E10" s="3"/>
      <c r="F10" s="3"/>
      <c r="G10" s="3"/>
      <c r="H10" s="3"/>
      <c r="I10" s="3"/>
      <c r="J10" s="3"/>
      <c r="K10" s="5"/>
      <c r="L10" s="5"/>
      <c r="M10" s="5"/>
      <c r="N10" s="3"/>
      <c r="O10" s="3"/>
      <c r="P10" s="3"/>
      <c r="Q10" s="3"/>
      <c r="R10" s="3"/>
    </row>
    <row r="11" spans="1:18" ht="26.1" customHeight="1">
      <c r="A11" s="18"/>
      <c r="B11" s="18"/>
      <c r="C11" s="18"/>
      <c r="D11" s="18"/>
      <c r="E11" s="3"/>
      <c r="F11" s="3"/>
      <c r="G11" s="3"/>
      <c r="H11" s="3"/>
      <c r="I11" s="3"/>
      <c r="J11" s="3"/>
      <c r="K11" s="5"/>
      <c r="L11" s="5"/>
      <c r="M11" s="5"/>
      <c r="N11" s="3"/>
      <c r="O11" s="3"/>
      <c r="P11" s="3"/>
      <c r="Q11" s="3"/>
      <c r="R11" s="3"/>
    </row>
    <row r="12" spans="1:18" ht="26.1" customHeight="1">
      <c r="A12" s="18"/>
      <c r="B12" s="18"/>
      <c r="C12" s="18"/>
      <c r="D12" s="18"/>
      <c r="E12" s="3"/>
      <c r="F12" s="3"/>
      <c r="G12" s="3"/>
      <c r="H12" s="3"/>
      <c r="I12" s="3"/>
      <c r="J12" s="3"/>
      <c r="K12" s="5"/>
      <c r="L12" s="5"/>
      <c r="M12" s="5"/>
      <c r="N12" s="3"/>
      <c r="O12" s="3"/>
      <c r="P12" s="3"/>
      <c r="Q12" s="3"/>
      <c r="R12" s="3"/>
    </row>
    <row r="13" spans="1:18" ht="26.1" customHeight="1">
      <c r="A13" s="18"/>
      <c r="B13" s="18"/>
      <c r="C13" s="18"/>
      <c r="D13" s="18"/>
      <c r="E13" s="3"/>
      <c r="F13" s="3"/>
      <c r="G13" s="3"/>
      <c r="H13" s="3"/>
      <c r="I13" s="3"/>
      <c r="J13" s="3"/>
      <c r="K13" s="5"/>
      <c r="L13" s="5"/>
      <c r="M13" s="5"/>
      <c r="N13" s="3"/>
      <c r="O13" s="3"/>
      <c r="P13" s="3"/>
      <c r="Q13" s="3"/>
      <c r="R13" s="3"/>
    </row>
    <row r="14" spans="1:18" ht="26.1" customHeight="1">
      <c r="A14" s="18"/>
      <c r="B14" s="18"/>
      <c r="C14" s="18"/>
      <c r="D14" s="18"/>
      <c r="E14" s="3"/>
      <c r="F14" s="3"/>
      <c r="G14" s="3"/>
      <c r="H14" s="3"/>
      <c r="I14" s="3"/>
      <c r="J14" s="3"/>
      <c r="K14" s="5"/>
      <c r="L14" s="5"/>
      <c r="M14" s="5"/>
      <c r="N14" s="3"/>
      <c r="O14" s="3"/>
      <c r="P14" s="3"/>
      <c r="Q14" s="3"/>
      <c r="R14" s="3"/>
    </row>
    <row r="15" spans="1:18" ht="26.1" customHeight="1">
      <c r="A15" s="18"/>
      <c r="B15" s="18"/>
      <c r="C15" s="18"/>
      <c r="D15" s="18"/>
      <c r="E15" s="3"/>
      <c r="F15" s="3"/>
      <c r="G15" s="3"/>
      <c r="H15" s="3"/>
      <c r="I15" s="3"/>
      <c r="J15" s="3"/>
      <c r="K15" s="5"/>
      <c r="L15" s="5"/>
      <c r="M15" s="5"/>
      <c r="N15" s="3"/>
      <c r="O15" s="3"/>
      <c r="P15" s="3"/>
      <c r="Q15" s="3"/>
      <c r="R15" s="3"/>
    </row>
    <row r="16" spans="1:18" ht="26.1" customHeight="1">
      <c r="A16" s="18"/>
      <c r="B16" s="18"/>
      <c r="C16" s="18"/>
      <c r="D16" s="18"/>
      <c r="E16" s="3"/>
      <c r="F16" s="3"/>
      <c r="G16" s="3"/>
      <c r="H16" s="3"/>
      <c r="I16" s="3"/>
      <c r="J16" s="3"/>
      <c r="K16" s="5"/>
      <c r="L16" s="5"/>
      <c r="M16" s="5"/>
      <c r="N16" s="3"/>
      <c r="O16" s="3"/>
      <c r="P16" s="3"/>
      <c r="Q16" s="3"/>
      <c r="R16" s="3"/>
    </row>
    <row r="17" spans="1:18" ht="26.1" customHeight="1">
      <c r="A17" s="18"/>
      <c r="B17" s="18"/>
      <c r="C17" s="18"/>
      <c r="D17" s="18"/>
      <c r="E17" s="3"/>
      <c r="F17" s="3"/>
      <c r="G17" s="3"/>
      <c r="H17" s="3"/>
      <c r="I17" s="3"/>
      <c r="J17" s="3"/>
      <c r="K17" s="5"/>
      <c r="L17" s="5"/>
      <c r="M17" s="5"/>
      <c r="N17" s="3"/>
      <c r="O17" s="3"/>
      <c r="P17" s="3"/>
      <c r="Q17" s="3"/>
      <c r="R17" s="3"/>
    </row>
    <row r="18" spans="1:18" ht="26.1" customHeight="1">
      <c r="A18" s="18"/>
      <c r="B18" s="18"/>
      <c r="C18" s="18"/>
      <c r="D18" s="18"/>
      <c r="E18" s="3"/>
      <c r="F18" s="3"/>
      <c r="G18" s="3"/>
      <c r="H18" s="3"/>
      <c r="I18" s="3"/>
      <c r="J18" s="3"/>
      <c r="K18" s="5"/>
      <c r="L18" s="5"/>
      <c r="M18" s="5"/>
      <c r="N18" s="3"/>
      <c r="O18" s="3"/>
      <c r="P18" s="3"/>
      <c r="Q18" s="3"/>
      <c r="R18" s="3"/>
    </row>
    <row r="19" spans="1:18" ht="26.1" customHeight="1">
      <c r="A19" s="18"/>
      <c r="B19" s="18"/>
      <c r="C19" s="18"/>
      <c r="D19" s="18"/>
      <c r="E19" s="3"/>
      <c r="F19" s="3"/>
      <c r="G19" s="3"/>
      <c r="H19" s="3"/>
      <c r="I19" s="3"/>
      <c r="J19" s="3"/>
      <c r="K19" s="5"/>
      <c r="L19" s="5"/>
      <c r="M19" s="5"/>
      <c r="N19" s="3"/>
      <c r="O19" s="3"/>
      <c r="P19" s="3"/>
      <c r="Q19" s="3"/>
      <c r="R19" s="3"/>
    </row>
    <row r="20" spans="1:18" ht="26.1" customHeight="1">
      <c r="A20" s="18"/>
      <c r="B20" s="18"/>
      <c r="C20" s="18"/>
      <c r="D20" s="18"/>
      <c r="E20" s="3"/>
      <c r="F20" s="3"/>
      <c r="G20" s="3"/>
      <c r="H20" s="3"/>
      <c r="I20" s="3"/>
      <c r="J20" s="3"/>
      <c r="K20" s="5"/>
      <c r="L20" s="5"/>
      <c r="M20" s="5"/>
      <c r="N20" s="3"/>
      <c r="O20" s="3"/>
      <c r="P20" s="3"/>
      <c r="Q20" s="3"/>
      <c r="R20" s="3"/>
    </row>
    <row r="21" spans="1:18" ht="26.1" customHeight="1">
      <c r="A21" s="18"/>
      <c r="B21" s="18"/>
      <c r="C21" s="18"/>
      <c r="D21" s="18"/>
      <c r="E21" s="3"/>
      <c r="F21" s="3"/>
      <c r="G21" s="3"/>
      <c r="H21" s="3"/>
      <c r="I21" s="3"/>
      <c r="J21" s="3"/>
      <c r="K21" s="5"/>
      <c r="L21" s="5"/>
      <c r="M21" s="5"/>
      <c r="N21" s="3"/>
      <c r="O21" s="3"/>
      <c r="P21" s="3"/>
      <c r="Q21" s="3"/>
      <c r="R21" s="3"/>
    </row>
    <row r="22" spans="1:18" ht="26.1" customHeight="1">
      <c r="A22" s="18"/>
      <c r="B22" s="18"/>
      <c r="C22" s="18"/>
      <c r="D22" s="18"/>
      <c r="E22" s="3"/>
      <c r="F22" s="3"/>
      <c r="G22" s="3"/>
      <c r="H22" s="3"/>
      <c r="I22" s="3"/>
      <c r="J22" s="3"/>
      <c r="K22" s="5"/>
      <c r="L22" s="5"/>
      <c r="M22" s="5"/>
      <c r="N22" s="3"/>
      <c r="O22" s="3"/>
      <c r="P22" s="3"/>
      <c r="Q22" s="3"/>
      <c r="R22" s="3"/>
    </row>
    <row r="23" spans="1:18" ht="26.1" customHeight="1">
      <c r="A23" s="18"/>
      <c r="B23" s="18"/>
      <c r="C23" s="18"/>
      <c r="D23" s="18"/>
      <c r="E23" s="3"/>
      <c r="F23" s="3"/>
      <c r="G23" s="3"/>
      <c r="H23" s="3"/>
      <c r="I23" s="3"/>
      <c r="J23" s="3"/>
      <c r="K23" s="5"/>
      <c r="L23" s="5"/>
      <c r="M23" s="5"/>
      <c r="N23" s="3"/>
      <c r="O23" s="3"/>
      <c r="P23" s="3"/>
      <c r="Q23" s="3"/>
      <c r="R23" s="3"/>
    </row>
    <row r="24" spans="1:18" ht="26.1" customHeight="1">
      <c r="A24" s="18"/>
      <c r="B24" s="18"/>
      <c r="C24" s="18"/>
      <c r="D24" s="18"/>
      <c r="E24" s="3"/>
      <c r="F24" s="3"/>
      <c r="G24" s="3"/>
      <c r="H24" s="3"/>
      <c r="I24" s="3"/>
      <c r="J24" s="3"/>
      <c r="K24" s="5"/>
      <c r="L24" s="5"/>
      <c r="M24" s="5"/>
      <c r="N24" s="3"/>
      <c r="O24" s="3"/>
      <c r="P24" s="3"/>
      <c r="Q24" s="3"/>
      <c r="R24" s="3"/>
    </row>
    <row r="25" spans="1:18" ht="26.1" customHeight="1">
      <c r="A25" s="18"/>
      <c r="B25" s="18"/>
      <c r="C25" s="18"/>
      <c r="D25" s="18"/>
      <c r="E25" s="3"/>
      <c r="F25" s="3"/>
      <c r="G25" s="3"/>
      <c r="H25" s="3"/>
      <c r="I25" s="3"/>
      <c r="J25" s="3"/>
      <c r="K25" s="5"/>
      <c r="L25" s="5"/>
      <c r="M25" s="5"/>
      <c r="N25" s="3"/>
      <c r="O25" s="3"/>
      <c r="P25" s="3"/>
      <c r="Q25" s="3"/>
      <c r="R25" s="3"/>
    </row>
    <row r="26" spans="1:18" ht="26.1" customHeight="1">
      <c r="A26" s="18"/>
      <c r="B26" s="18"/>
      <c r="C26" s="18"/>
      <c r="D26" s="18"/>
      <c r="E26" s="3"/>
      <c r="F26" s="3"/>
      <c r="G26" s="3"/>
      <c r="H26" s="3"/>
      <c r="I26" s="3"/>
      <c r="J26" s="3"/>
      <c r="K26" s="5"/>
      <c r="L26" s="5"/>
      <c r="M26" s="5"/>
      <c r="N26" s="3"/>
      <c r="O26" s="3"/>
      <c r="P26" s="3"/>
      <c r="Q26" s="3"/>
      <c r="R26" s="3"/>
    </row>
    <row r="27" spans="1:18" ht="26.1" customHeight="1">
      <c r="A27" s="18"/>
      <c r="B27" s="18"/>
      <c r="C27" s="18"/>
      <c r="D27" s="18"/>
      <c r="E27" s="3"/>
      <c r="F27" s="3"/>
      <c r="G27" s="3"/>
      <c r="H27" s="3"/>
      <c r="I27" s="3"/>
      <c r="J27" s="3"/>
      <c r="K27" s="5"/>
      <c r="L27" s="5"/>
      <c r="M27" s="5"/>
      <c r="N27" s="3"/>
      <c r="O27" s="3"/>
      <c r="P27" s="3"/>
      <c r="Q27" s="3"/>
      <c r="R27" s="3"/>
    </row>
    <row r="28" spans="1:18" ht="26.1" customHeight="1">
      <c r="A28" s="18"/>
      <c r="B28" s="18"/>
      <c r="C28" s="18"/>
      <c r="D28" s="18"/>
      <c r="E28" s="3"/>
      <c r="F28" s="3"/>
      <c r="G28" s="3"/>
      <c r="H28" s="3"/>
      <c r="I28" s="3"/>
      <c r="J28" s="3"/>
      <c r="K28" s="5"/>
      <c r="L28" s="5"/>
      <c r="M28" s="5"/>
      <c r="N28" s="3"/>
      <c r="O28" s="3"/>
      <c r="P28" s="3"/>
      <c r="Q28" s="3"/>
      <c r="R28" s="3"/>
    </row>
    <row r="29" spans="1:18" ht="26.1" customHeight="1">
      <c r="A29" s="18"/>
      <c r="B29" s="18"/>
      <c r="C29" s="18"/>
      <c r="D29" s="18"/>
      <c r="E29" s="3"/>
      <c r="F29" s="3"/>
      <c r="G29" s="3"/>
      <c r="H29" s="3"/>
      <c r="I29" s="3"/>
      <c r="J29" s="3"/>
      <c r="K29" s="5"/>
      <c r="L29" s="5"/>
      <c r="M29" s="5"/>
      <c r="N29" s="3"/>
      <c r="O29" s="3"/>
      <c r="P29" s="3"/>
      <c r="Q29" s="3"/>
      <c r="R29" s="3"/>
    </row>
    <row r="30" spans="1:18" ht="26.1" customHeight="1">
      <c r="A30" s="18"/>
      <c r="B30" s="18"/>
      <c r="C30" s="18"/>
      <c r="D30" s="18"/>
      <c r="E30" s="3"/>
      <c r="F30" s="3"/>
      <c r="G30" s="3"/>
      <c r="H30" s="3"/>
      <c r="I30" s="3"/>
      <c r="J30" s="3"/>
      <c r="K30" s="5"/>
      <c r="L30" s="5"/>
      <c r="M30" s="5"/>
      <c r="N30" s="3"/>
      <c r="O30" s="3"/>
      <c r="P30" s="3"/>
      <c r="Q30" s="3"/>
      <c r="R30" s="3"/>
    </row>
    <row r="31" spans="1:18" ht="26.1" customHeight="1">
      <c r="A31" s="18"/>
      <c r="B31" s="18"/>
      <c r="C31" s="18"/>
      <c r="D31" s="18"/>
      <c r="E31" s="3"/>
      <c r="F31" s="3"/>
      <c r="G31" s="3"/>
      <c r="H31" s="3"/>
      <c r="I31" s="3"/>
      <c r="J31" s="3"/>
      <c r="K31" s="5"/>
      <c r="L31" s="5"/>
      <c r="M31" s="5"/>
      <c r="N31" s="3"/>
      <c r="O31" s="3"/>
      <c r="P31" s="3"/>
      <c r="Q31" s="3"/>
      <c r="R31" s="3"/>
    </row>
    <row r="32" spans="1:18" ht="26.1" customHeight="1">
      <c r="A32" s="18"/>
      <c r="B32" s="18"/>
      <c r="C32" s="18"/>
      <c r="D32" s="18"/>
      <c r="E32" s="3"/>
      <c r="F32" s="3"/>
      <c r="G32" s="3"/>
      <c r="H32" s="3"/>
      <c r="I32" s="3"/>
      <c r="J32" s="3"/>
      <c r="K32" s="5"/>
      <c r="L32" s="5"/>
      <c r="M32" s="5"/>
      <c r="N32" s="3"/>
      <c r="O32" s="3"/>
      <c r="P32" s="3"/>
      <c r="Q32" s="3"/>
      <c r="R32" s="3"/>
    </row>
    <row r="33" spans="1:18" ht="26.1" customHeight="1">
      <c r="A33" s="18"/>
      <c r="B33" s="18"/>
      <c r="C33" s="18"/>
      <c r="D33" s="18"/>
      <c r="E33" s="3"/>
      <c r="F33" s="3"/>
      <c r="G33" s="3"/>
      <c r="H33" s="3"/>
      <c r="I33" s="3"/>
      <c r="J33" s="3"/>
      <c r="K33" s="5"/>
      <c r="L33" s="5"/>
      <c r="M33" s="5"/>
      <c r="N33" s="3"/>
      <c r="O33" s="3"/>
      <c r="P33" s="3"/>
      <c r="Q33" s="3"/>
      <c r="R33" s="3"/>
    </row>
    <row r="34" spans="1:18" ht="26.1" customHeight="1">
      <c r="A34" s="18"/>
      <c r="B34" s="18"/>
      <c r="C34" s="18"/>
      <c r="D34" s="18"/>
      <c r="E34" s="3"/>
      <c r="F34" s="3"/>
      <c r="G34" s="3"/>
      <c r="H34" s="3"/>
      <c r="I34" s="3"/>
      <c r="J34" s="3"/>
      <c r="K34" s="5"/>
      <c r="L34" s="5"/>
      <c r="M34" s="5"/>
      <c r="N34" s="3"/>
      <c r="O34" s="3"/>
      <c r="P34" s="3"/>
      <c r="Q34" s="3"/>
      <c r="R34" s="3"/>
    </row>
    <row r="35" spans="1:18" ht="26.1" customHeight="1">
      <c r="A35" s="18"/>
      <c r="B35" s="18"/>
      <c r="C35" s="18"/>
      <c r="D35" s="18"/>
      <c r="E35" s="3"/>
      <c r="F35" s="3"/>
      <c r="G35" s="3"/>
      <c r="H35" s="3"/>
      <c r="I35" s="3"/>
      <c r="J35" s="3"/>
      <c r="K35" s="5"/>
      <c r="L35" s="5"/>
      <c r="M35" s="5"/>
      <c r="N35" s="3"/>
      <c r="O35" s="3"/>
      <c r="P35" s="3"/>
      <c r="Q35" s="3"/>
      <c r="R35" s="3"/>
    </row>
    <row r="36" spans="1:18" ht="26.1" customHeight="1">
      <c r="A36" s="18"/>
      <c r="B36" s="18"/>
      <c r="C36" s="18"/>
      <c r="D36" s="18"/>
      <c r="E36" s="3"/>
      <c r="F36" s="3"/>
      <c r="G36" s="3"/>
      <c r="H36" s="3"/>
      <c r="I36" s="3"/>
      <c r="J36" s="3"/>
      <c r="K36" s="5"/>
      <c r="L36" s="5"/>
      <c r="M36" s="5"/>
      <c r="N36" s="3"/>
      <c r="O36" s="3"/>
      <c r="P36" s="3"/>
      <c r="Q36" s="3"/>
      <c r="R36" s="3"/>
    </row>
    <row r="37" spans="1:18" ht="26.1" customHeight="1">
      <c r="A37" s="18"/>
      <c r="B37" s="18"/>
      <c r="C37" s="18"/>
      <c r="D37" s="18"/>
      <c r="E37" s="3"/>
      <c r="F37" s="3"/>
      <c r="G37" s="3"/>
      <c r="H37" s="3"/>
      <c r="I37" s="3"/>
      <c r="J37" s="3"/>
      <c r="K37" s="5"/>
      <c r="L37" s="5"/>
      <c r="M37" s="5"/>
      <c r="N37" s="3"/>
      <c r="O37" s="3"/>
      <c r="P37" s="3"/>
      <c r="Q37" s="3"/>
      <c r="R37" s="3"/>
    </row>
    <row r="38" spans="1:18" ht="26.1" customHeight="1">
      <c r="A38" s="18"/>
      <c r="B38" s="18"/>
      <c r="C38" s="18"/>
      <c r="D38" s="18"/>
      <c r="E38" s="3"/>
      <c r="F38" s="3"/>
      <c r="G38" s="3"/>
      <c r="H38" s="3"/>
      <c r="I38" s="3"/>
      <c r="J38" s="3"/>
      <c r="K38" s="5"/>
      <c r="L38" s="5"/>
      <c r="M38" s="5"/>
      <c r="N38" s="3"/>
      <c r="O38" s="3"/>
      <c r="P38" s="3"/>
      <c r="Q38" s="3"/>
      <c r="R38" s="3"/>
    </row>
    <row r="39" spans="1:18" ht="26.1" customHeight="1">
      <c r="A39" s="18"/>
      <c r="B39" s="18"/>
      <c r="C39" s="18"/>
      <c r="D39" s="18"/>
      <c r="E39" s="3"/>
      <c r="F39" s="3"/>
      <c r="G39" s="3"/>
      <c r="H39" s="3"/>
      <c r="I39" s="3"/>
      <c r="J39" s="3"/>
      <c r="K39" s="5"/>
      <c r="L39" s="5"/>
      <c r="M39" s="5"/>
      <c r="N39" s="3"/>
      <c r="O39" s="3"/>
      <c r="P39" s="3"/>
      <c r="Q39" s="3"/>
      <c r="R39" s="3"/>
    </row>
    <row r="40" spans="1:18" ht="26.1" customHeight="1">
      <c r="A40" s="18"/>
      <c r="B40" s="18"/>
      <c r="C40" s="18"/>
      <c r="D40" s="18"/>
      <c r="E40" s="3"/>
      <c r="F40" s="3"/>
      <c r="G40" s="3"/>
      <c r="H40" s="3"/>
      <c r="I40" s="3"/>
      <c r="J40" s="3"/>
      <c r="K40" s="5"/>
      <c r="L40" s="5"/>
      <c r="M40" s="5"/>
      <c r="N40" s="3"/>
      <c r="O40" s="3"/>
      <c r="P40" s="3"/>
      <c r="Q40" s="3"/>
      <c r="R40" s="3"/>
    </row>
    <row r="41" spans="1:18" ht="26.1" customHeight="1">
      <c r="A41" s="18"/>
      <c r="B41" s="18"/>
      <c r="C41" s="18"/>
      <c r="D41" s="18"/>
      <c r="E41" s="3"/>
      <c r="F41" s="3"/>
      <c r="G41" s="3"/>
      <c r="H41" s="3"/>
      <c r="I41" s="3"/>
      <c r="J41" s="3"/>
      <c r="K41" s="5"/>
      <c r="L41" s="5"/>
      <c r="M41" s="5"/>
      <c r="N41" s="3"/>
      <c r="O41" s="3"/>
      <c r="P41" s="3"/>
      <c r="Q41" s="3"/>
      <c r="R41" s="3"/>
    </row>
    <row r="42" spans="1:18" ht="26.1" customHeight="1">
      <c r="A42" s="18"/>
      <c r="B42" s="18"/>
      <c r="C42" s="18"/>
      <c r="D42" s="18"/>
      <c r="E42" s="3"/>
      <c r="F42" s="3"/>
      <c r="G42" s="3"/>
      <c r="H42" s="3"/>
      <c r="I42" s="3"/>
      <c r="J42" s="3"/>
      <c r="K42" s="5"/>
      <c r="L42" s="5"/>
      <c r="M42" s="5"/>
      <c r="N42" s="3"/>
      <c r="O42" s="3"/>
      <c r="P42" s="3"/>
      <c r="Q42" s="3"/>
      <c r="R42" s="3"/>
    </row>
    <row r="43" spans="1:18" ht="26.1" customHeight="1">
      <c r="A43" s="18"/>
      <c r="B43" s="18"/>
      <c r="C43" s="18"/>
      <c r="D43" s="18"/>
      <c r="E43" s="3"/>
      <c r="F43" s="3"/>
      <c r="G43" s="3"/>
      <c r="H43" s="3"/>
      <c r="I43" s="3"/>
      <c r="J43" s="3"/>
      <c r="K43" s="5"/>
      <c r="L43" s="5"/>
      <c r="M43" s="5"/>
      <c r="N43" s="3"/>
      <c r="O43" s="3"/>
      <c r="P43" s="3"/>
      <c r="Q43" s="3"/>
      <c r="R43" s="3"/>
    </row>
    <row r="44" spans="1:18" ht="26.1" customHeight="1">
      <c r="A44" s="18"/>
      <c r="B44" s="18"/>
      <c r="C44" s="18"/>
      <c r="D44" s="18"/>
      <c r="E44" s="3"/>
      <c r="F44" s="3"/>
      <c r="G44" s="3"/>
      <c r="H44" s="3"/>
      <c r="I44" s="3"/>
      <c r="J44" s="3"/>
      <c r="K44" s="5"/>
      <c r="L44" s="5"/>
      <c r="M44" s="5"/>
      <c r="N44" s="3"/>
      <c r="O44" s="3"/>
      <c r="P44" s="3"/>
      <c r="Q44" s="3"/>
      <c r="R44" s="3"/>
    </row>
    <row r="45" spans="1:18" ht="26.1" customHeight="1">
      <c r="A45" s="18"/>
      <c r="B45" s="18"/>
      <c r="C45" s="18"/>
      <c r="D45" s="18"/>
      <c r="E45" s="3"/>
      <c r="F45" s="3"/>
      <c r="G45" s="3"/>
      <c r="H45" s="3"/>
      <c r="I45" s="3"/>
      <c r="J45" s="3"/>
      <c r="K45" s="5"/>
      <c r="L45" s="5"/>
      <c r="M45" s="5"/>
      <c r="N45" s="3"/>
      <c r="O45" s="3"/>
      <c r="P45" s="3"/>
      <c r="Q45" s="3"/>
      <c r="R45" s="3"/>
    </row>
    <row r="46" spans="1:18" ht="26.1" customHeight="1">
      <c r="A46" s="18"/>
      <c r="B46" s="18"/>
      <c r="C46" s="18"/>
      <c r="D46" s="18"/>
      <c r="E46" s="3"/>
      <c r="F46" s="3"/>
      <c r="G46" s="3"/>
      <c r="H46" s="3"/>
      <c r="I46" s="3"/>
      <c r="J46" s="3"/>
      <c r="K46" s="5"/>
      <c r="L46" s="5"/>
      <c r="M46" s="5"/>
      <c r="N46" s="3"/>
      <c r="O46" s="3"/>
      <c r="P46" s="3"/>
      <c r="Q46" s="3"/>
      <c r="R46" s="3"/>
    </row>
    <row r="47" spans="1:18" ht="26.1" customHeight="1">
      <c r="A47" s="18"/>
      <c r="B47" s="18"/>
      <c r="C47" s="18"/>
      <c r="D47" s="18"/>
      <c r="E47" s="3"/>
      <c r="F47" s="3"/>
      <c r="G47" s="3"/>
      <c r="H47" s="3"/>
      <c r="I47" s="3"/>
      <c r="J47" s="3"/>
      <c r="K47" s="5"/>
      <c r="L47" s="5"/>
      <c r="M47" s="5"/>
      <c r="N47" s="3"/>
      <c r="O47" s="3"/>
      <c r="P47" s="3"/>
      <c r="Q47" s="3"/>
      <c r="R47" s="3"/>
    </row>
    <row r="48" spans="1:18" ht="26.1" customHeight="1">
      <c r="A48" s="18"/>
      <c r="B48" s="18"/>
      <c r="C48" s="18"/>
      <c r="D48" s="18"/>
      <c r="E48" s="3"/>
      <c r="F48" s="3"/>
      <c r="G48" s="3"/>
      <c r="H48" s="3"/>
      <c r="I48" s="3"/>
      <c r="J48" s="3"/>
      <c r="K48" s="5"/>
      <c r="L48" s="5"/>
      <c r="M48" s="5"/>
      <c r="N48" s="3"/>
      <c r="O48" s="3"/>
      <c r="P48" s="3"/>
      <c r="Q48" s="3"/>
      <c r="R48" s="3"/>
    </row>
    <row r="49" spans="1:18" ht="26.1" customHeight="1">
      <c r="A49" s="18"/>
      <c r="B49" s="18"/>
      <c r="C49" s="18"/>
      <c r="D49" s="18"/>
      <c r="E49" s="3"/>
      <c r="F49" s="3"/>
      <c r="G49" s="3"/>
      <c r="H49" s="3"/>
      <c r="I49" s="3"/>
      <c r="J49" s="3"/>
      <c r="K49" s="5"/>
      <c r="L49" s="5"/>
      <c r="M49" s="5"/>
      <c r="N49" s="3"/>
      <c r="O49" s="3"/>
      <c r="P49" s="3"/>
      <c r="Q49" s="3"/>
      <c r="R49" s="3"/>
    </row>
    <row r="50" spans="1:18" ht="26.1" customHeight="1">
      <c r="A50" s="18"/>
      <c r="B50" s="18"/>
      <c r="C50" s="18"/>
      <c r="D50" s="18"/>
      <c r="E50" s="3"/>
      <c r="F50" s="3"/>
      <c r="G50" s="3"/>
      <c r="H50" s="3"/>
      <c r="I50" s="3"/>
      <c r="J50" s="3"/>
      <c r="K50" s="5"/>
      <c r="L50" s="5"/>
      <c r="M50" s="5"/>
      <c r="N50" s="3"/>
      <c r="O50" s="3"/>
      <c r="P50" s="3"/>
      <c r="Q50" s="3"/>
      <c r="R50" s="3"/>
    </row>
    <row r="51" spans="1:18" ht="26.1" customHeight="1">
      <c r="A51" s="18"/>
      <c r="B51" s="18"/>
      <c r="C51" s="18"/>
      <c r="D51" s="18"/>
      <c r="E51" s="3"/>
      <c r="F51" s="3"/>
      <c r="G51" s="3"/>
      <c r="H51" s="3"/>
      <c r="I51" s="3"/>
      <c r="J51" s="3"/>
      <c r="K51" s="5"/>
      <c r="L51" s="5"/>
      <c r="M51" s="5"/>
      <c r="N51" s="3"/>
      <c r="O51" s="3"/>
      <c r="P51" s="3"/>
      <c r="Q51" s="3"/>
      <c r="R51" s="3"/>
    </row>
    <row r="52" spans="1:18" ht="26.1" customHeight="1">
      <c r="A52" s="18"/>
      <c r="B52" s="18"/>
      <c r="C52" s="18"/>
      <c r="D52" s="18"/>
      <c r="E52" s="3"/>
      <c r="F52" s="3"/>
      <c r="G52" s="3"/>
      <c r="H52" s="3"/>
      <c r="I52" s="3"/>
      <c r="J52" s="3"/>
      <c r="K52" s="5"/>
      <c r="L52" s="5"/>
      <c r="M52" s="5"/>
      <c r="N52" s="3"/>
      <c r="O52" s="3"/>
      <c r="P52" s="3"/>
      <c r="Q52" s="3"/>
      <c r="R52" s="3"/>
    </row>
    <row r="53" spans="1:18" ht="26.1" customHeight="1">
      <c r="A53" s="18"/>
      <c r="B53" s="18"/>
      <c r="C53" s="18"/>
      <c r="D53" s="18"/>
      <c r="E53" s="3"/>
      <c r="F53" s="3"/>
      <c r="G53" s="3"/>
      <c r="H53" s="3"/>
      <c r="I53" s="3"/>
      <c r="J53" s="3"/>
      <c r="K53" s="5"/>
      <c r="L53" s="5"/>
      <c r="M53" s="5"/>
      <c r="N53" s="3"/>
      <c r="O53" s="3"/>
      <c r="P53" s="3"/>
      <c r="Q53" s="3"/>
      <c r="R53" s="3"/>
    </row>
    <row r="54" spans="1:18" ht="26.1" customHeight="1">
      <c r="A54" s="18"/>
      <c r="B54" s="18"/>
      <c r="C54" s="18"/>
      <c r="D54" s="18"/>
      <c r="E54" s="3"/>
      <c r="F54" s="3"/>
      <c r="G54" s="3"/>
      <c r="H54" s="3"/>
      <c r="I54" s="3"/>
      <c r="J54" s="3"/>
      <c r="K54" s="5"/>
      <c r="L54" s="5"/>
      <c r="M54" s="5"/>
      <c r="N54" s="3"/>
      <c r="O54" s="3"/>
      <c r="P54" s="3"/>
      <c r="Q54" s="3"/>
      <c r="R54" s="3"/>
    </row>
    <row r="55" spans="1:18" ht="26.1" customHeight="1">
      <c r="A55" s="18"/>
      <c r="B55" s="18"/>
      <c r="C55" s="18"/>
      <c r="D55" s="18"/>
      <c r="E55" s="3"/>
      <c r="F55" s="3"/>
      <c r="G55" s="3"/>
      <c r="H55" s="3"/>
      <c r="I55" s="3"/>
      <c r="J55" s="3"/>
      <c r="K55" s="5"/>
      <c r="L55" s="5"/>
      <c r="M55" s="5"/>
      <c r="N55" s="3"/>
      <c r="O55" s="3"/>
      <c r="P55" s="3"/>
      <c r="Q55" s="3"/>
      <c r="R55" s="3"/>
    </row>
    <row r="56" spans="1:18" ht="26.1" customHeight="1">
      <c r="A56" s="18"/>
      <c r="B56" s="18"/>
      <c r="C56" s="18"/>
      <c r="D56" s="18"/>
      <c r="E56" s="3"/>
      <c r="F56" s="3"/>
      <c r="G56" s="3"/>
      <c r="H56" s="3"/>
      <c r="I56" s="3"/>
      <c r="J56" s="3"/>
      <c r="K56" s="5"/>
      <c r="L56" s="5"/>
      <c r="M56" s="5"/>
      <c r="N56" s="3"/>
      <c r="O56" s="3"/>
      <c r="P56" s="3"/>
      <c r="Q56" s="3"/>
      <c r="R56" s="3"/>
    </row>
    <row r="57" spans="1:18" ht="26.1" customHeight="1">
      <c r="A57" s="18"/>
      <c r="B57" s="18"/>
      <c r="C57" s="18"/>
      <c r="D57" s="18"/>
      <c r="E57" s="3"/>
      <c r="F57" s="3"/>
      <c r="G57" s="3"/>
      <c r="H57" s="3"/>
      <c r="I57" s="3"/>
      <c r="J57" s="3"/>
      <c r="K57" s="5"/>
      <c r="L57" s="5"/>
      <c r="M57" s="5"/>
      <c r="N57" s="3"/>
      <c r="O57" s="3"/>
      <c r="P57" s="3"/>
      <c r="Q57" s="3"/>
      <c r="R57" s="3"/>
    </row>
    <row r="58" spans="1:18" ht="26.1" customHeight="1">
      <c r="A58" s="18"/>
      <c r="B58" s="18"/>
      <c r="C58" s="18"/>
      <c r="D58" s="18"/>
      <c r="E58" s="3"/>
      <c r="F58" s="3"/>
      <c r="G58" s="3"/>
      <c r="H58" s="3"/>
      <c r="I58" s="3"/>
      <c r="J58" s="3"/>
      <c r="K58" s="5"/>
      <c r="L58" s="5"/>
      <c r="M58" s="5"/>
      <c r="N58" s="3"/>
      <c r="O58" s="3"/>
      <c r="P58" s="3"/>
      <c r="Q58" s="3"/>
      <c r="R58" s="3"/>
    </row>
    <row r="59" spans="1:18" ht="26.1" customHeight="1">
      <c r="A59" s="18"/>
      <c r="B59" s="18"/>
      <c r="C59" s="18"/>
      <c r="D59" s="18"/>
      <c r="E59" s="3"/>
      <c r="F59" s="3"/>
      <c r="G59" s="3"/>
      <c r="H59" s="3"/>
      <c r="I59" s="3"/>
      <c r="J59" s="3"/>
      <c r="K59" s="5"/>
      <c r="L59" s="5"/>
      <c r="M59" s="5"/>
      <c r="N59" s="3"/>
      <c r="O59" s="3"/>
      <c r="P59" s="3"/>
      <c r="Q59" s="3"/>
      <c r="R59" s="3"/>
    </row>
    <row r="60" spans="1:18" ht="26.1" customHeight="1">
      <c r="A60" s="18"/>
      <c r="B60" s="18"/>
      <c r="C60" s="18"/>
      <c r="D60" s="18"/>
      <c r="E60" s="3"/>
      <c r="F60" s="3"/>
      <c r="G60" s="3"/>
      <c r="H60" s="3"/>
      <c r="I60" s="3"/>
      <c r="J60" s="3"/>
      <c r="K60" s="5"/>
      <c r="L60" s="5"/>
      <c r="M60" s="5"/>
      <c r="N60" s="3"/>
      <c r="O60" s="3"/>
      <c r="P60" s="3"/>
      <c r="Q60" s="3"/>
      <c r="R60" s="3"/>
    </row>
    <row r="61" spans="1:18" ht="26.1" customHeight="1">
      <c r="A61" s="18"/>
      <c r="B61" s="18"/>
      <c r="C61" s="18"/>
      <c r="D61" s="18"/>
      <c r="E61" s="3"/>
      <c r="F61" s="3"/>
      <c r="G61" s="3"/>
      <c r="H61" s="3"/>
      <c r="I61" s="3"/>
      <c r="J61" s="3"/>
      <c r="K61" s="5"/>
      <c r="L61" s="5"/>
      <c r="M61" s="5"/>
      <c r="N61" s="3"/>
      <c r="O61" s="3"/>
      <c r="P61" s="3"/>
      <c r="Q61" s="3"/>
      <c r="R61" s="3"/>
    </row>
    <row r="62" spans="1:18" ht="26.1" customHeight="1">
      <c r="A62" s="18"/>
      <c r="B62" s="18"/>
      <c r="C62" s="18"/>
      <c r="D62" s="18"/>
      <c r="E62" s="3"/>
      <c r="F62" s="3"/>
      <c r="G62" s="3"/>
      <c r="H62" s="3"/>
      <c r="I62" s="3"/>
      <c r="J62" s="3"/>
      <c r="K62" s="5"/>
      <c r="L62" s="5"/>
      <c r="M62" s="5"/>
      <c r="N62" s="3"/>
      <c r="O62" s="3"/>
      <c r="P62" s="3"/>
      <c r="Q62" s="3"/>
      <c r="R62" s="3"/>
    </row>
    <row r="63" spans="1:18" ht="26.1" customHeight="1">
      <c r="A63" s="18"/>
      <c r="B63" s="18"/>
      <c r="C63" s="18"/>
      <c r="D63" s="18"/>
      <c r="E63" s="3"/>
      <c r="F63" s="3"/>
      <c r="G63" s="3"/>
      <c r="H63" s="3"/>
      <c r="I63" s="3"/>
      <c r="J63" s="3"/>
      <c r="K63" s="5"/>
      <c r="L63" s="5"/>
      <c r="M63" s="5"/>
      <c r="N63" s="3"/>
      <c r="O63" s="3"/>
      <c r="P63" s="3"/>
      <c r="Q63" s="3"/>
      <c r="R63" s="3"/>
    </row>
    <row r="64" spans="1:18" ht="26.1" customHeight="1">
      <c r="A64" s="18"/>
      <c r="B64" s="18"/>
      <c r="C64" s="18"/>
      <c r="D64" s="18"/>
      <c r="E64" s="3"/>
      <c r="F64" s="3"/>
      <c r="G64" s="3"/>
      <c r="H64" s="3"/>
      <c r="I64" s="3"/>
      <c r="J64" s="3"/>
      <c r="K64" s="5"/>
      <c r="L64" s="5"/>
      <c r="M64" s="5"/>
      <c r="N64" s="3"/>
      <c r="O64" s="3"/>
      <c r="P64" s="3"/>
      <c r="Q64" s="3"/>
      <c r="R64" s="3"/>
    </row>
    <row r="65" spans="1:18" ht="26.1" customHeight="1">
      <c r="A65" s="18"/>
      <c r="B65" s="18"/>
      <c r="C65" s="18"/>
      <c r="D65" s="18"/>
      <c r="E65" s="3"/>
      <c r="F65" s="3"/>
      <c r="G65" s="3"/>
      <c r="H65" s="3"/>
      <c r="I65" s="3"/>
      <c r="J65" s="3"/>
      <c r="K65" s="5"/>
      <c r="L65" s="5"/>
      <c r="M65" s="5"/>
      <c r="N65" s="3"/>
      <c r="O65" s="3"/>
      <c r="P65" s="3"/>
      <c r="Q65" s="3"/>
      <c r="R65" s="3"/>
    </row>
    <row r="66" spans="1:18" ht="26.1" customHeight="1">
      <c r="A66" s="18"/>
      <c r="B66" s="18"/>
      <c r="C66" s="18"/>
      <c r="D66" s="18"/>
      <c r="E66" s="3"/>
      <c r="F66" s="3"/>
      <c r="G66" s="3"/>
      <c r="H66" s="3"/>
      <c r="I66" s="3"/>
      <c r="J66" s="3"/>
      <c r="K66" s="5"/>
      <c r="L66" s="5"/>
      <c r="M66" s="5"/>
      <c r="N66" s="3"/>
      <c r="O66" s="3"/>
      <c r="P66" s="3"/>
      <c r="Q66" s="3"/>
      <c r="R66" s="3"/>
    </row>
    <row r="67" spans="1:18" ht="26.1" customHeight="1">
      <c r="A67" s="18"/>
      <c r="B67" s="18"/>
      <c r="C67" s="18"/>
      <c r="D67" s="18"/>
      <c r="E67" s="3"/>
      <c r="F67" s="3"/>
      <c r="G67" s="3"/>
      <c r="H67" s="3"/>
      <c r="I67" s="3"/>
      <c r="J67" s="3"/>
      <c r="K67" s="5"/>
      <c r="L67" s="5"/>
      <c r="M67" s="5"/>
      <c r="N67" s="3"/>
      <c r="O67" s="3"/>
      <c r="P67" s="3"/>
      <c r="Q67" s="3"/>
      <c r="R67" s="3"/>
    </row>
    <row r="68" spans="1:18" ht="26.1" customHeight="1">
      <c r="A68" s="18"/>
      <c r="B68" s="18"/>
      <c r="C68" s="18"/>
      <c r="D68" s="18"/>
      <c r="E68" s="3"/>
      <c r="F68" s="3"/>
      <c r="G68" s="3"/>
      <c r="H68" s="3"/>
      <c r="I68" s="3"/>
      <c r="J68" s="3"/>
      <c r="K68" s="5"/>
      <c r="L68" s="5"/>
      <c r="M68" s="5"/>
      <c r="N68" s="3"/>
      <c r="O68" s="3"/>
      <c r="P68" s="3"/>
      <c r="Q68" s="3"/>
      <c r="R68" s="3"/>
    </row>
    <row r="69" spans="1:18" ht="26.1" customHeight="1">
      <c r="A69" s="18"/>
      <c r="B69" s="18"/>
      <c r="C69" s="18"/>
      <c r="D69" s="18"/>
      <c r="E69" s="3"/>
      <c r="F69" s="3"/>
      <c r="G69" s="3"/>
      <c r="H69" s="3"/>
      <c r="I69" s="3"/>
      <c r="J69" s="3"/>
      <c r="K69" s="5"/>
      <c r="L69" s="5"/>
      <c r="M69" s="5"/>
      <c r="N69" s="3"/>
      <c r="O69" s="3"/>
      <c r="P69" s="3"/>
      <c r="Q69" s="3"/>
      <c r="R69" s="3"/>
    </row>
    <row r="70" spans="1:18" ht="26.1" customHeight="1">
      <c r="A70" s="18"/>
      <c r="B70" s="18"/>
      <c r="C70" s="18"/>
      <c r="D70" s="18"/>
      <c r="E70" s="3"/>
      <c r="F70" s="3"/>
      <c r="G70" s="3"/>
      <c r="H70" s="3"/>
      <c r="I70" s="3"/>
      <c r="J70" s="3"/>
      <c r="K70" s="5"/>
      <c r="L70" s="5"/>
      <c r="M70" s="5"/>
      <c r="N70" s="3"/>
      <c r="O70" s="3"/>
      <c r="P70" s="3"/>
      <c r="Q70" s="3"/>
      <c r="R70" s="3"/>
    </row>
    <row r="71" spans="1:18" ht="26.1" customHeight="1">
      <c r="A71" s="18"/>
      <c r="B71" s="18"/>
      <c r="C71" s="18"/>
      <c r="D71" s="18"/>
      <c r="E71" s="3"/>
      <c r="F71" s="3"/>
      <c r="G71" s="3"/>
      <c r="H71" s="3"/>
      <c r="I71" s="3"/>
      <c r="J71" s="3"/>
      <c r="K71" s="5"/>
      <c r="L71" s="5"/>
      <c r="M71" s="5"/>
      <c r="N71" s="3"/>
      <c r="O71" s="3"/>
      <c r="P71" s="3"/>
      <c r="Q71" s="3"/>
      <c r="R71" s="3"/>
    </row>
    <row r="72" spans="1:18" ht="26.1" customHeight="1">
      <c r="A72" s="18"/>
      <c r="B72" s="18"/>
      <c r="C72" s="18"/>
      <c r="D72" s="18"/>
      <c r="E72" s="3"/>
      <c r="F72" s="3"/>
      <c r="G72" s="3"/>
      <c r="H72" s="3"/>
      <c r="I72" s="3"/>
      <c r="J72" s="3"/>
      <c r="K72" s="5"/>
      <c r="L72" s="5"/>
      <c r="M72" s="5"/>
      <c r="N72" s="3"/>
      <c r="O72" s="3"/>
      <c r="P72" s="3"/>
      <c r="Q72" s="3"/>
      <c r="R72" s="3"/>
    </row>
    <row r="73" spans="1:18" ht="26.1" customHeight="1">
      <c r="A73" s="18"/>
      <c r="B73" s="18"/>
      <c r="C73" s="18"/>
      <c r="D73" s="18"/>
      <c r="E73" s="3"/>
      <c r="F73" s="3"/>
      <c r="G73" s="3"/>
      <c r="H73" s="3"/>
      <c r="I73" s="3"/>
      <c r="J73" s="3"/>
      <c r="K73" s="5"/>
      <c r="L73" s="5"/>
      <c r="M73" s="5"/>
      <c r="N73" s="3"/>
      <c r="O73" s="3"/>
      <c r="P73" s="3"/>
      <c r="Q73" s="3"/>
      <c r="R73" s="3"/>
    </row>
    <row r="74" spans="1:18" ht="26.1" customHeight="1">
      <c r="A74" s="18"/>
      <c r="B74" s="18"/>
      <c r="C74" s="18"/>
      <c r="D74" s="18"/>
      <c r="E74" s="3"/>
      <c r="F74" s="3"/>
      <c r="G74" s="3"/>
      <c r="H74" s="3"/>
      <c r="I74" s="3"/>
      <c r="J74" s="3"/>
      <c r="K74" s="5"/>
      <c r="L74" s="5"/>
      <c r="M74" s="5"/>
      <c r="N74" s="3"/>
      <c r="O74" s="3"/>
      <c r="P74" s="3"/>
      <c r="Q74" s="3"/>
      <c r="R74" s="3"/>
    </row>
    <row r="75" spans="1:18" ht="26.1" customHeight="1">
      <c r="A75" s="18"/>
      <c r="B75" s="18"/>
      <c r="C75" s="18"/>
      <c r="D75" s="18"/>
      <c r="E75" s="3"/>
      <c r="F75" s="3"/>
      <c r="G75" s="3"/>
      <c r="H75" s="3"/>
      <c r="I75" s="3"/>
      <c r="J75" s="3"/>
      <c r="K75" s="5"/>
      <c r="L75" s="5"/>
      <c r="M75" s="5"/>
      <c r="N75" s="3"/>
      <c r="O75" s="3"/>
      <c r="P75" s="3"/>
      <c r="Q75" s="3"/>
      <c r="R75" s="3"/>
    </row>
    <row r="76" spans="1:18" ht="26.1" customHeight="1">
      <c r="A76" s="18"/>
      <c r="B76" s="18"/>
      <c r="C76" s="18"/>
      <c r="D76" s="18"/>
      <c r="E76" s="3"/>
      <c r="F76" s="3"/>
      <c r="G76" s="3"/>
      <c r="H76" s="3"/>
      <c r="I76" s="3"/>
      <c r="J76" s="3"/>
      <c r="K76" s="5"/>
      <c r="L76" s="5"/>
      <c r="M76" s="5"/>
      <c r="N76" s="3"/>
      <c r="O76" s="3"/>
      <c r="P76" s="3"/>
      <c r="Q76" s="3"/>
      <c r="R76" s="3"/>
    </row>
    <row r="77" spans="1:18" ht="26.1" customHeight="1">
      <c r="A77" s="18"/>
      <c r="B77" s="18"/>
      <c r="C77" s="18"/>
      <c r="D77" s="18"/>
      <c r="E77" s="3"/>
      <c r="F77" s="3"/>
      <c r="G77" s="3"/>
      <c r="H77" s="3"/>
      <c r="I77" s="3"/>
      <c r="J77" s="3"/>
      <c r="K77" s="5"/>
      <c r="L77" s="5"/>
      <c r="M77" s="5"/>
      <c r="N77" s="3"/>
      <c r="O77" s="3"/>
      <c r="P77" s="3"/>
      <c r="Q77" s="3"/>
      <c r="R77" s="3"/>
    </row>
    <row r="78" spans="1:18" ht="26.1" customHeight="1">
      <c r="A78" s="18"/>
      <c r="B78" s="18"/>
      <c r="C78" s="18"/>
      <c r="D78" s="18"/>
      <c r="E78" s="3"/>
      <c r="F78" s="3"/>
      <c r="G78" s="3"/>
      <c r="H78" s="3"/>
      <c r="I78" s="3"/>
      <c r="J78" s="3"/>
      <c r="K78" s="5"/>
      <c r="L78" s="5"/>
      <c r="M78" s="5"/>
      <c r="N78" s="3"/>
      <c r="O78" s="3"/>
      <c r="P78" s="3"/>
      <c r="Q78" s="3"/>
      <c r="R78" s="3"/>
    </row>
    <row r="79" spans="1:18" ht="26.1" customHeight="1">
      <c r="A79" s="18"/>
      <c r="B79" s="18"/>
      <c r="C79" s="18"/>
      <c r="D79" s="18"/>
      <c r="E79" s="3"/>
      <c r="F79" s="3"/>
      <c r="G79" s="3"/>
      <c r="H79" s="3"/>
      <c r="I79" s="3"/>
      <c r="J79" s="3"/>
      <c r="K79" s="5"/>
      <c r="L79" s="5"/>
      <c r="M79" s="5"/>
      <c r="N79" s="3"/>
      <c r="O79" s="3"/>
      <c r="P79" s="3"/>
      <c r="Q79" s="3"/>
      <c r="R79" s="3"/>
    </row>
    <row r="80" spans="1:18" ht="26.1" customHeight="1">
      <c r="A80" s="18"/>
      <c r="B80" s="18"/>
      <c r="C80" s="18"/>
      <c r="D80" s="18"/>
      <c r="E80" s="3"/>
      <c r="F80" s="3"/>
      <c r="G80" s="3"/>
      <c r="H80" s="3"/>
      <c r="I80" s="3"/>
      <c r="J80" s="3"/>
      <c r="K80" s="5"/>
      <c r="L80" s="5"/>
      <c r="M80" s="5"/>
      <c r="N80" s="3"/>
      <c r="O80" s="3"/>
      <c r="P80" s="3"/>
      <c r="Q80" s="3"/>
      <c r="R80" s="3"/>
    </row>
    <row r="81" spans="1:18" ht="26.1" customHeight="1">
      <c r="A81" s="18"/>
      <c r="B81" s="18"/>
      <c r="C81" s="18"/>
      <c r="D81" s="18"/>
      <c r="E81" s="3"/>
      <c r="F81" s="3"/>
      <c r="G81" s="3"/>
      <c r="H81" s="3"/>
      <c r="I81" s="3"/>
      <c r="J81" s="3"/>
      <c r="K81" s="5"/>
      <c r="L81" s="5"/>
      <c r="M81" s="5"/>
      <c r="N81" s="3"/>
      <c r="O81" s="3"/>
      <c r="P81" s="3"/>
      <c r="Q81" s="3"/>
      <c r="R81" s="3"/>
    </row>
    <row r="82" spans="1:18" ht="26.1" customHeight="1">
      <c r="A82" s="18"/>
      <c r="B82" s="18"/>
      <c r="C82" s="18"/>
      <c r="D82" s="18"/>
      <c r="E82" s="3"/>
      <c r="F82" s="3"/>
      <c r="G82" s="3"/>
      <c r="H82" s="3"/>
      <c r="I82" s="3"/>
      <c r="J82" s="3"/>
      <c r="K82" s="5"/>
      <c r="L82" s="5"/>
      <c r="M82" s="5"/>
      <c r="N82" s="3"/>
      <c r="O82" s="3"/>
      <c r="P82" s="3"/>
      <c r="Q82" s="3"/>
      <c r="R82" s="3"/>
    </row>
    <row r="83" spans="1:18" ht="26.1" customHeight="1">
      <c r="A83" s="18"/>
      <c r="B83" s="18"/>
      <c r="C83" s="18"/>
      <c r="D83" s="18"/>
      <c r="E83" s="3"/>
      <c r="F83" s="3"/>
      <c r="G83" s="3"/>
      <c r="H83" s="3"/>
      <c r="I83" s="3"/>
      <c r="J83" s="3"/>
      <c r="K83" s="5"/>
      <c r="L83" s="5"/>
      <c r="M83" s="5"/>
      <c r="N83" s="3"/>
      <c r="O83" s="3"/>
      <c r="P83" s="3"/>
      <c r="Q83" s="3"/>
      <c r="R83" s="3"/>
    </row>
    <row r="84" spans="1:18" ht="26.1" customHeight="1">
      <c r="A84" s="18"/>
      <c r="B84" s="18"/>
      <c r="C84" s="18"/>
      <c r="D84" s="18"/>
      <c r="E84" s="3"/>
      <c r="F84" s="3"/>
      <c r="G84" s="3"/>
      <c r="H84" s="3"/>
      <c r="I84" s="3"/>
      <c r="J84" s="3"/>
      <c r="K84" s="5"/>
      <c r="L84" s="5"/>
      <c r="M84" s="5"/>
      <c r="N84" s="3"/>
      <c r="O84" s="3"/>
      <c r="P84" s="3"/>
      <c r="Q84" s="3"/>
      <c r="R84" s="3"/>
    </row>
    <row r="85" spans="1:18" ht="26.1" customHeight="1">
      <c r="A85" s="18"/>
      <c r="B85" s="18"/>
      <c r="C85" s="18"/>
      <c r="D85" s="18"/>
      <c r="E85" s="3"/>
      <c r="F85" s="3"/>
      <c r="G85" s="3"/>
      <c r="H85" s="3"/>
      <c r="I85" s="3"/>
      <c r="J85" s="3"/>
      <c r="K85" s="5"/>
      <c r="L85" s="5"/>
      <c r="M85" s="5"/>
      <c r="N85" s="3"/>
      <c r="O85" s="3"/>
      <c r="P85" s="3"/>
      <c r="Q85" s="3"/>
      <c r="R85" s="3"/>
    </row>
    <row r="86" spans="1:18" ht="26.1" customHeight="1">
      <c r="A86" s="18"/>
      <c r="B86" s="18"/>
      <c r="C86" s="18"/>
      <c r="D86" s="18"/>
      <c r="E86" s="3"/>
      <c r="F86" s="3"/>
      <c r="G86" s="3"/>
      <c r="H86" s="3"/>
      <c r="I86" s="3"/>
      <c r="J86" s="3"/>
      <c r="K86" s="5"/>
      <c r="L86" s="5"/>
      <c r="M86" s="5"/>
      <c r="N86" s="3"/>
      <c r="O86" s="3"/>
      <c r="P86" s="3"/>
      <c r="Q86" s="3"/>
      <c r="R86" s="3"/>
    </row>
    <row r="87" spans="1:18" ht="26.1" customHeight="1">
      <c r="A87" s="18"/>
      <c r="B87" s="18"/>
      <c r="C87" s="18"/>
      <c r="D87" s="18"/>
      <c r="E87" s="3"/>
      <c r="F87" s="3"/>
      <c r="G87" s="3"/>
      <c r="H87" s="3"/>
      <c r="I87" s="3"/>
      <c r="J87" s="3"/>
      <c r="K87" s="5"/>
      <c r="L87" s="5"/>
      <c r="M87" s="5"/>
      <c r="N87" s="3"/>
      <c r="O87" s="3"/>
      <c r="P87" s="3"/>
      <c r="Q87" s="3"/>
      <c r="R87" s="3"/>
    </row>
    <row r="88" spans="1:18" ht="26.1" customHeight="1">
      <c r="A88" s="18"/>
      <c r="B88" s="18"/>
      <c r="C88" s="18"/>
      <c r="D88" s="18"/>
      <c r="E88" s="3"/>
      <c r="F88" s="3"/>
      <c r="G88" s="3"/>
      <c r="H88" s="3"/>
      <c r="I88" s="3"/>
      <c r="J88" s="3"/>
      <c r="K88" s="5"/>
      <c r="L88" s="5"/>
      <c r="M88" s="5"/>
      <c r="N88" s="3"/>
      <c r="O88" s="3"/>
      <c r="P88" s="3"/>
      <c r="Q88" s="3"/>
      <c r="R88" s="3"/>
    </row>
    <row r="89" spans="1:18" ht="26.1" customHeight="1">
      <c r="A89" s="18"/>
      <c r="B89" s="18"/>
      <c r="C89" s="18"/>
      <c r="D89" s="18"/>
      <c r="E89" s="3"/>
      <c r="F89" s="3"/>
      <c r="G89" s="3"/>
      <c r="H89" s="3"/>
      <c r="I89" s="3"/>
      <c r="J89" s="3"/>
      <c r="K89" s="5"/>
      <c r="L89" s="5"/>
      <c r="M89" s="5"/>
      <c r="N89" s="3"/>
      <c r="O89" s="3"/>
      <c r="P89" s="3"/>
      <c r="Q89" s="3"/>
      <c r="R89" s="3"/>
    </row>
    <row r="90" spans="1:18" ht="26.1" customHeight="1">
      <c r="A90" s="18"/>
      <c r="B90" s="18"/>
      <c r="C90" s="18"/>
      <c r="D90" s="18"/>
      <c r="E90" s="3"/>
      <c r="F90" s="3"/>
      <c r="G90" s="3"/>
      <c r="H90" s="3"/>
      <c r="I90" s="3"/>
      <c r="J90" s="3"/>
      <c r="K90" s="5"/>
      <c r="L90" s="5"/>
      <c r="M90" s="5"/>
      <c r="N90" s="3"/>
      <c r="O90" s="3"/>
      <c r="P90" s="3"/>
      <c r="Q90" s="3"/>
      <c r="R90" s="3"/>
    </row>
    <row r="91" spans="1:18" ht="26.1" customHeight="1">
      <c r="A91" s="18"/>
      <c r="B91" s="18"/>
      <c r="C91" s="18"/>
      <c r="D91" s="18"/>
      <c r="E91" s="3"/>
      <c r="F91" s="3"/>
      <c r="G91" s="3"/>
      <c r="H91" s="3"/>
      <c r="I91" s="3"/>
      <c r="J91" s="3"/>
      <c r="K91" s="5"/>
      <c r="L91" s="5"/>
      <c r="M91" s="5"/>
      <c r="N91" s="3"/>
      <c r="O91" s="3"/>
      <c r="P91" s="3"/>
      <c r="Q91" s="3"/>
      <c r="R91" s="3"/>
    </row>
    <row r="92" spans="1:18" ht="26.1" customHeight="1">
      <c r="A92" s="18"/>
      <c r="B92" s="18"/>
      <c r="C92" s="18"/>
      <c r="D92" s="18"/>
      <c r="E92" s="3"/>
      <c r="F92" s="3"/>
      <c r="G92" s="3"/>
      <c r="H92" s="3"/>
      <c r="I92" s="3"/>
      <c r="J92" s="3"/>
      <c r="K92" s="5"/>
      <c r="L92" s="5"/>
      <c r="M92" s="5"/>
      <c r="N92" s="3"/>
      <c r="O92" s="3"/>
      <c r="P92" s="3"/>
      <c r="Q92" s="3"/>
      <c r="R92" s="3"/>
    </row>
    <row r="93" spans="1:18" ht="26.1" customHeight="1">
      <c r="A93" s="18"/>
      <c r="B93" s="18"/>
      <c r="C93" s="18"/>
      <c r="D93" s="18"/>
      <c r="E93" s="3"/>
      <c r="F93" s="3"/>
      <c r="G93" s="3"/>
      <c r="H93" s="3"/>
      <c r="I93" s="3"/>
      <c r="J93" s="3"/>
      <c r="K93" s="5"/>
      <c r="L93" s="5"/>
      <c r="M93" s="5"/>
      <c r="N93" s="3"/>
      <c r="O93" s="3"/>
      <c r="P93" s="3"/>
      <c r="Q93" s="3"/>
      <c r="R93" s="3"/>
    </row>
    <row r="94" spans="1:18" ht="26.1" customHeight="1">
      <c r="A94" s="18"/>
      <c r="B94" s="18"/>
      <c r="C94" s="18"/>
      <c r="D94" s="18"/>
      <c r="E94" s="3"/>
      <c r="F94" s="3"/>
      <c r="G94" s="3"/>
      <c r="H94" s="3"/>
      <c r="I94" s="3"/>
      <c r="J94" s="3"/>
      <c r="K94" s="5"/>
      <c r="L94" s="5"/>
      <c r="M94" s="5"/>
      <c r="N94" s="3"/>
      <c r="O94" s="3"/>
      <c r="P94" s="3"/>
      <c r="Q94" s="3"/>
      <c r="R94" s="3"/>
    </row>
    <row r="95" spans="1:18" ht="26.1" customHeight="1">
      <c r="A95" s="18"/>
      <c r="B95" s="18"/>
      <c r="C95" s="18"/>
      <c r="D95" s="18"/>
      <c r="E95" s="3"/>
      <c r="F95" s="3"/>
      <c r="G95" s="3"/>
      <c r="H95" s="3"/>
      <c r="I95" s="3"/>
      <c r="J95" s="3"/>
      <c r="K95" s="5"/>
      <c r="L95" s="5"/>
      <c r="M95" s="5"/>
      <c r="N95" s="3"/>
      <c r="O95" s="3"/>
      <c r="P95" s="3"/>
      <c r="Q95" s="3"/>
      <c r="R95" s="3"/>
    </row>
    <row r="96" spans="1:18" ht="26.1" customHeight="1">
      <c r="A96" s="18"/>
      <c r="B96" s="18"/>
      <c r="C96" s="18"/>
      <c r="D96" s="18"/>
      <c r="E96" s="3"/>
      <c r="F96" s="3"/>
      <c r="G96" s="3"/>
      <c r="H96" s="3"/>
      <c r="I96" s="3"/>
      <c r="J96" s="3"/>
      <c r="K96" s="5"/>
      <c r="L96" s="5"/>
      <c r="M96" s="5"/>
      <c r="N96" s="3"/>
      <c r="O96" s="3"/>
      <c r="P96" s="3"/>
      <c r="Q96" s="3"/>
      <c r="R96" s="3"/>
    </row>
    <row r="97" spans="1:18" ht="26.1" customHeight="1">
      <c r="A97" s="18"/>
      <c r="B97" s="18"/>
      <c r="C97" s="18"/>
      <c r="D97" s="18"/>
      <c r="E97" s="3"/>
      <c r="F97" s="3"/>
      <c r="G97" s="3"/>
      <c r="H97" s="3"/>
      <c r="I97" s="3"/>
      <c r="J97" s="3"/>
      <c r="K97" s="5"/>
      <c r="L97" s="5"/>
      <c r="M97" s="5"/>
      <c r="N97" s="3"/>
      <c r="O97" s="3"/>
      <c r="P97" s="3"/>
      <c r="Q97" s="3"/>
      <c r="R97" s="3"/>
    </row>
    <row r="98" spans="1:18" ht="26.1" customHeight="1">
      <c r="A98" s="18"/>
      <c r="B98" s="18"/>
      <c r="C98" s="18"/>
      <c r="D98" s="18"/>
      <c r="E98" s="3"/>
      <c r="F98" s="3"/>
      <c r="G98" s="3"/>
      <c r="H98" s="3"/>
      <c r="I98" s="3"/>
      <c r="J98" s="3"/>
      <c r="K98" s="5"/>
      <c r="L98" s="5"/>
      <c r="M98" s="5"/>
      <c r="N98" s="3"/>
      <c r="O98" s="3"/>
      <c r="P98" s="3"/>
      <c r="Q98" s="3"/>
      <c r="R98" s="3"/>
    </row>
    <row r="99" spans="1:18" ht="26.1" customHeight="1">
      <c r="A99" s="18"/>
      <c r="B99" s="18"/>
      <c r="C99" s="18"/>
      <c r="D99" s="18"/>
      <c r="E99" s="3"/>
      <c r="F99" s="3"/>
      <c r="G99" s="3"/>
      <c r="H99" s="3"/>
      <c r="I99" s="3"/>
      <c r="J99" s="3"/>
      <c r="K99" s="5"/>
      <c r="L99" s="5"/>
      <c r="M99" s="5"/>
      <c r="N99" s="3"/>
      <c r="O99" s="3"/>
      <c r="P99" s="3"/>
      <c r="Q99" s="3"/>
      <c r="R99" s="3"/>
    </row>
    <row r="100" spans="1:18" ht="26.1" customHeight="1">
      <c r="A100" s="18"/>
      <c r="B100" s="18"/>
      <c r="C100" s="18"/>
      <c r="D100" s="18"/>
      <c r="E100" s="3"/>
      <c r="F100" s="3"/>
      <c r="G100" s="3"/>
      <c r="H100" s="3"/>
      <c r="I100" s="3"/>
      <c r="J100" s="3"/>
      <c r="K100" s="5"/>
      <c r="L100" s="5"/>
      <c r="M100" s="5"/>
      <c r="N100" s="3"/>
      <c r="O100" s="3"/>
      <c r="P100" s="3"/>
      <c r="Q100" s="3"/>
      <c r="R100" s="3"/>
    </row>
    <row r="101" spans="1:18" ht="26.1" customHeight="1">
      <c r="A101" s="18"/>
      <c r="B101" s="18"/>
      <c r="C101" s="18"/>
      <c r="D101" s="18"/>
      <c r="E101" s="3"/>
      <c r="F101" s="3"/>
      <c r="G101" s="3"/>
      <c r="H101" s="3"/>
      <c r="I101" s="3"/>
      <c r="J101" s="3"/>
      <c r="K101" s="5"/>
      <c r="L101" s="5"/>
      <c r="M101" s="5"/>
      <c r="N101" s="3"/>
      <c r="O101" s="3"/>
      <c r="P101" s="3"/>
      <c r="Q101" s="3"/>
      <c r="R101" s="3"/>
    </row>
    <row r="102" spans="1:18" ht="26.1" customHeight="1">
      <c r="A102" s="18"/>
      <c r="B102" s="18"/>
      <c r="C102" s="18"/>
      <c r="D102" s="18"/>
      <c r="E102" s="3"/>
      <c r="F102" s="3"/>
      <c r="G102" s="3"/>
      <c r="H102" s="3"/>
      <c r="I102" s="3"/>
      <c r="J102" s="3"/>
      <c r="K102" s="5"/>
      <c r="L102" s="5"/>
      <c r="M102" s="5"/>
      <c r="N102" s="3"/>
      <c r="O102" s="3"/>
      <c r="P102" s="3"/>
      <c r="Q102" s="3"/>
      <c r="R102" s="3"/>
    </row>
    <row r="103" spans="1:18" ht="26.1" customHeight="1">
      <c r="A103" s="18"/>
      <c r="B103" s="18"/>
      <c r="C103" s="18"/>
      <c r="D103" s="18"/>
      <c r="E103" s="3"/>
      <c r="F103" s="3"/>
      <c r="G103" s="3"/>
      <c r="H103" s="3"/>
      <c r="I103" s="3"/>
      <c r="J103" s="3"/>
      <c r="K103" s="5"/>
      <c r="L103" s="5"/>
      <c r="M103" s="5"/>
      <c r="N103" s="3"/>
      <c r="O103" s="3"/>
      <c r="P103" s="3"/>
      <c r="Q103" s="3"/>
      <c r="R103" s="3"/>
    </row>
    <row r="104" spans="1:18" ht="26.1" customHeight="1">
      <c r="A104" s="18"/>
      <c r="B104" s="18"/>
      <c r="C104" s="18"/>
      <c r="D104" s="18"/>
      <c r="E104" s="3"/>
      <c r="F104" s="3"/>
      <c r="G104" s="3"/>
      <c r="H104" s="3"/>
      <c r="I104" s="3"/>
      <c r="J104" s="3"/>
      <c r="K104" s="5"/>
      <c r="L104" s="5"/>
      <c r="M104" s="5"/>
      <c r="N104" s="3"/>
      <c r="O104" s="3"/>
      <c r="P104" s="3"/>
      <c r="Q104" s="3"/>
      <c r="R104" s="3"/>
    </row>
    <row r="105" spans="1:18" ht="26.1" customHeight="1">
      <c r="A105" s="18"/>
      <c r="B105" s="18"/>
      <c r="C105" s="18"/>
      <c r="D105" s="18"/>
      <c r="E105" s="3"/>
      <c r="F105" s="3"/>
      <c r="G105" s="3"/>
      <c r="H105" s="3"/>
      <c r="I105" s="3"/>
      <c r="J105" s="3"/>
      <c r="K105" s="5"/>
      <c r="L105" s="5"/>
      <c r="M105" s="5"/>
      <c r="N105" s="3"/>
      <c r="O105" s="3"/>
      <c r="P105" s="3"/>
      <c r="Q105" s="3"/>
      <c r="R105" s="3"/>
    </row>
    <row r="106" spans="1:18" ht="26.1" customHeight="1">
      <c r="A106" s="18"/>
      <c r="B106" s="18"/>
      <c r="C106" s="18"/>
      <c r="D106" s="18"/>
      <c r="E106" s="3"/>
      <c r="F106" s="3"/>
      <c r="G106" s="3"/>
      <c r="H106" s="3"/>
      <c r="I106" s="3"/>
      <c r="J106" s="3"/>
      <c r="K106" s="5"/>
      <c r="L106" s="5"/>
      <c r="M106" s="5"/>
      <c r="N106" s="3"/>
      <c r="O106" s="3"/>
      <c r="P106" s="3"/>
      <c r="Q106" s="3"/>
      <c r="R106" s="3"/>
    </row>
    <row r="107" spans="1:18">
      <c r="A107" s="18"/>
      <c r="B107" s="18"/>
      <c r="C107" s="18"/>
      <c r="D107" s="18"/>
    </row>
    <row r="108" spans="1:18">
      <c r="A108" s="18"/>
      <c r="B108" s="18"/>
      <c r="C108" s="18"/>
      <c r="D108" s="18"/>
    </row>
    <row r="109" spans="1:18">
      <c r="A109" s="18"/>
      <c r="B109" s="18"/>
      <c r="C109" s="18"/>
      <c r="D109" s="18"/>
    </row>
    <row r="110" spans="1:18">
      <c r="A110" s="18"/>
      <c r="B110" s="18"/>
      <c r="C110" s="18"/>
      <c r="D110" s="18"/>
    </row>
  </sheetData>
  <mergeCells count="1">
    <mergeCell ref="E5:R5"/>
  </mergeCells>
  <conditionalFormatting sqref="E7:E106">
    <cfRule type="expression" dxfId="7" priority="1">
      <formula>AND(E7&lt;&gt;"",COUNTIFS($E$7:$E$106,E7)&gt;1)</formula>
    </cfRule>
  </conditionalFormatting>
  <conditionalFormatting sqref="Q7:Q106">
    <cfRule type="cellIs" dxfId="6" priority="2" operator="equal">
      <formula>"Pending validation"</formula>
    </cfRule>
    <cfRule type="cellIs" dxfId="5" priority="3" operator="equal">
      <formula>"Validated"</formula>
    </cfRule>
    <cfRule type="cellIs" dxfId="4" priority="4" operator="equal">
      <formula>"Rejected"</formula>
    </cfRule>
  </conditionalFormatting>
  <dataValidations count="4">
    <dataValidation type="list" allowBlank="1" showErrorMessage="1" errorTitle="Select an allowed option" error="Choose a dropdown value or leave an unknown input blank." sqref="N7:N106" xr:uid="{00000000-0002-0000-0300-000000000000}">
      <formula1>"Planned request,Requested,Received,Under review,Reviewed"</formula1>
    </dataValidation>
    <dataValidation type="list" allowBlank="1" showErrorMessage="1" errorTitle="Select an allowed option" error="Choose a dropdown value or leave an unknown input blank." sqref="Q7:Q106" xr:uid="{00000000-0002-0000-0300-000001000000}">
      <formula1>"Pending validation,Validated,Rejected"</formula1>
    </dataValidation>
    <dataValidation type="list" allowBlank="1" showErrorMessage="1" errorTitle="Select an allowed option" error="Choose a dropdown value or leave an unknown input blank." sqref="F7:F106" xr:uid="{00000000-0002-0000-0300-000002000000}">
      <formula1>RiskIDs</formula1>
    </dataValidation>
    <dataValidation type="list" allowBlank="1" showErrorMessage="1" errorTitle="Select an allowed option" error="Choose a dropdown value or leave an unknown input blank." sqref="G7:G106" xr:uid="{00000000-0002-0000-0300-000003000000}">
      <formula1>ControlIDs</formula1>
    </dataValidation>
  </dataValidation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2F47"/>
  </sheetPr>
  <dimension ref="A1:P110"/>
  <sheetViews>
    <sheetView showGridLines="0" showRowColHeaders="0" zoomScale="75" workbookViewId="0">
      <pane xSplit="6" ySplit="6" topLeftCell="G7" activePane="bottomRight" state="frozen"/>
      <selection pane="topRight"/>
      <selection pane="bottomLeft"/>
      <selection pane="bottomRight"/>
    </sheetView>
  </sheetViews>
  <sheetFormatPr defaultRowHeight="14.25"/>
  <cols>
    <col min="1" max="4" width="7.25" customWidth="1"/>
    <col min="5" max="5" width="15" customWidth="1"/>
    <col min="6" max="6" width="13" customWidth="1"/>
    <col min="7" max="7" width="52" customWidth="1"/>
    <col min="8" max="8" width="29" customWidth="1"/>
    <col min="9" max="9" width="24" customWidth="1"/>
    <col min="10" max="10" width="23" customWidth="1"/>
    <col min="11" max="12" width="18" customWidth="1"/>
    <col min="13" max="13" width="26" customWidth="1"/>
    <col min="14" max="14" width="24" customWidth="1"/>
    <col min="15" max="15" width="18" customWidth="1"/>
    <col min="16" max="16" width="52"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19" t="s">
        <v>146</v>
      </c>
      <c r="F5" s="19"/>
      <c r="G5" s="19"/>
      <c r="H5" s="19"/>
      <c r="I5" s="19"/>
      <c r="J5" s="19"/>
      <c r="K5" s="19"/>
      <c r="L5" s="19"/>
      <c r="M5" s="19"/>
      <c r="N5" s="19"/>
      <c r="O5" s="19"/>
      <c r="P5" s="19"/>
    </row>
    <row r="6" spans="1:16" ht="45.95" customHeight="1">
      <c r="A6" s="18"/>
      <c r="B6" s="18"/>
      <c r="C6" s="18"/>
      <c r="D6" s="18"/>
      <c r="E6" s="2" t="s">
        <v>63</v>
      </c>
      <c r="F6" s="2" t="s">
        <v>0</v>
      </c>
      <c r="G6" s="2" t="s">
        <v>64</v>
      </c>
      <c r="H6" s="2" t="s">
        <v>10</v>
      </c>
      <c r="I6" s="2" t="s">
        <v>65</v>
      </c>
      <c r="J6" s="2" t="s">
        <v>13</v>
      </c>
      <c r="K6" s="2" t="s">
        <v>66</v>
      </c>
      <c r="L6" s="2" t="s">
        <v>67</v>
      </c>
      <c r="M6" s="2" t="s">
        <v>68</v>
      </c>
      <c r="N6" s="2" t="s">
        <v>69</v>
      </c>
      <c r="O6" s="2" t="s">
        <v>70</v>
      </c>
      <c r="P6" s="2" t="s">
        <v>71</v>
      </c>
    </row>
    <row r="7" spans="1:16" ht="117.95" customHeight="1">
      <c r="A7" s="18"/>
      <c r="B7" s="18"/>
      <c r="C7" s="18"/>
      <c r="D7" s="18"/>
      <c r="E7" s="3" t="s">
        <v>72</v>
      </c>
      <c r="F7" s="3" t="s">
        <v>21</v>
      </c>
      <c r="G7" s="3" t="s">
        <v>73</v>
      </c>
      <c r="H7" s="3" t="s">
        <v>27</v>
      </c>
      <c r="I7" s="3" t="s">
        <v>74</v>
      </c>
      <c r="J7" s="3" t="s">
        <v>30</v>
      </c>
      <c r="K7" s="5"/>
      <c r="L7" s="5"/>
      <c r="M7" s="3"/>
      <c r="N7" s="3" t="s">
        <v>29</v>
      </c>
      <c r="O7" s="4" t="str">
        <f t="shared" ref="O7:O38" ca="1" si="0">IF(E7="","",IF(ISNUMBER(K7),IF(J7="Completed",0,MAX(0,TODAY()-K7)),""))</f>
      </c>
      <c r="P7" s="3" t="s">
        <v>75</v>
      </c>
    </row>
    <row r="8" spans="1:16" ht="26.1" customHeight="1">
      <c r="A8" s="18"/>
      <c r="B8" s="18"/>
      <c r="C8" s="18"/>
      <c r="D8" s="18"/>
      <c r="E8" s="3"/>
      <c r="F8" s="3"/>
      <c r="G8" s="3"/>
      <c r="H8" s="3"/>
      <c r="I8" s="3"/>
      <c r="J8" s="3"/>
      <c r="K8" s="5"/>
      <c r="L8" s="5"/>
      <c r="M8" s="3"/>
      <c r="N8" s="3"/>
      <c r="O8" s="4" t="str">
        <f t="shared" ca="1" si="0"/>
      </c>
      <c r="P8" s="3"/>
    </row>
    <row r="9" spans="1:16" ht="26.1" customHeight="1">
      <c r="A9" s="18"/>
      <c r="B9" s="18"/>
      <c r="C9" s="18"/>
      <c r="D9" s="18"/>
      <c r="E9" s="3"/>
      <c r="F9" s="3"/>
      <c r="G9" s="3"/>
      <c r="H9" s="3"/>
      <c r="I9" s="3"/>
      <c r="J9" s="3"/>
      <c r="K9" s="5"/>
      <c r="L9" s="5"/>
      <c r="M9" s="3"/>
      <c r="N9" s="3"/>
      <c r="O9" s="4" t="str">
        <f t="shared" ca="1" si="0"/>
      </c>
      <c r="P9" s="3"/>
    </row>
    <row r="10" spans="1:16" ht="26.1" customHeight="1">
      <c r="A10" s="18"/>
      <c r="B10" s="18"/>
      <c r="C10" s="18"/>
      <c r="D10" s="18"/>
      <c r="E10" s="3"/>
      <c r="F10" s="3"/>
      <c r="G10" s="3"/>
      <c r="H10" s="3"/>
      <c r="I10" s="3"/>
      <c r="J10" s="3"/>
      <c r="K10" s="5"/>
      <c r="L10" s="5"/>
      <c r="M10" s="3"/>
      <c r="N10" s="3"/>
      <c r="O10" s="4" t="str">
        <f t="shared" ca="1" si="0"/>
      </c>
      <c r="P10" s="3"/>
    </row>
    <row r="11" spans="1:16" ht="26.1" customHeight="1">
      <c r="A11" s="18"/>
      <c r="B11" s="18"/>
      <c r="C11" s="18"/>
      <c r="D11" s="18"/>
      <c r="E11" s="3"/>
      <c r="F11" s="3"/>
      <c r="G11" s="3"/>
      <c r="H11" s="3"/>
      <c r="I11" s="3"/>
      <c r="J11" s="3"/>
      <c r="K11" s="5"/>
      <c r="L11" s="5"/>
      <c r="M11" s="3"/>
      <c r="N11" s="3"/>
      <c r="O11" s="4" t="str">
        <f t="shared" ca="1" si="0"/>
      </c>
      <c r="P11" s="3"/>
    </row>
    <row r="12" spans="1:16" ht="26.1" customHeight="1">
      <c r="A12" s="18"/>
      <c r="B12" s="18"/>
      <c r="C12" s="18"/>
      <c r="D12" s="18"/>
      <c r="E12" s="3"/>
      <c r="F12" s="3"/>
      <c r="G12" s="3"/>
      <c r="H12" s="3"/>
      <c r="I12" s="3"/>
      <c r="J12" s="3"/>
      <c r="K12" s="5"/>
      <c r="L12" s="5"/>
      <c r="M12" s="3"/>
      <c r="N12" s="3"/>
      <c r="O12" s="4" t="str">
        <f t="shared" ca="1" si="0"/>
      </c>
      <c r="P12" s="3"/>
    </row>
    <row r="13" spans="1:16" ht="26.1" customHeight="1">
      <c r="A13" s="18"/>
      <c r="B13" s="18"/>
      <c r="C13" s="18"/>
      <c r="D13" s="18"/>
      <c r="E13" s="3"/>
      <c r="F13" s="3"/>
      <c r="G13" s="3"/>
      <c r="H13" s="3"/>
      <c r="I13" s="3"/>
      <c r="J13" s="3"/>
      <c r="K13" s="5"/>
      <c r="L13" s="5"/>
      <c r="M13" s="3"/>
      <c r="N13" s="3"/>
      <c r="O13" s="4" t="str">
        <f t="shared" ca="1" si="0"/>
      </c>
      <c r="P13" s="3"/>
    </row>
    <row r="14" spans="1:16" ht="26.1" customHeight="1">
      <c r="A14" s="18"/>
      <c r="B14" s="18"/>
      <c r="C14" s="18"/>
      <c r="D14" s="18"/>
      <c r="E14" s="3"/>
      <c r="F14" s="3"/>
      <c r="G14" s="3"/>
      <c r="H14" s="3"/>
      <c r="I14" s="3"/>
      <c r="J14" s="3"/>
      <c r="K14" s="5"/>
      <c r="L14" s="5"/>
      <c r="M14" s="3"/>
      <c r="N14" s="3"/>
      <c r="O14" s="4" t="str">
        <f t="shared" ca="1" si="0"/>
      </c>
      <c r="P14" s="3"/>
    </row>
    <row r="15" spans="1:16" ht="26.1" customHeight="1">
      <c r="A15" s="18"/>
      <c r="B15" s="18"/>
      <c r="C15" s="18"/>
      <c r="D15" s="18"/>
      <c r="E15" s="3"/>
      <c r="F15" s="3"/>
      <c r="G15" s="3"/>
      <c r="H15" s="3"/>
      <c r="I15" s="3"/>
      <c r="J15" s="3"/>
      <c r="K15" s="5"/>
      <c r="L15" s="5"/>
      <c r="M15" s="3"/>
      <c r="N15" s="3"/>
      <c r="O15" s="4" t="str">
        <f t="shared" ca="1" si="0"/>
      </c>
      <c r="P15" s="3"/>
    </row>
    <row r="16" spans="1:16" ht="26.1" customHeight="1">
      <c r="A16" s="18"/>
      <c r="B16" s="18"/>
      <c r="C16" s="18"/>
      <c r="D16" s="18"/>
      <c r="E16" s="3"/>
      <c r="F16" s="3"/>
      <c r="G16" s="3"/>
      <c r="H16" s="3"/>
      <c r="I16" s="3"/>
      <c r="J16" s="3"/>
      <c r="K16" s="5"/>
      <c r="L16" s="5"/>
      <c r="M16" s="3"/>
      <c r="N16" s="3"/>
      <c r="O16" s="4" t="str">
        <f t="shared" ca="1" si="0"/>
      </c>
      <c r="P16" s="3"/>
    </row>
    <row r="17" spans="1:16" ht="26.1" customHeight="1">
      <c r="A17" s="18"/>
      <c r="B17" s="18"/>
      <c r="C17" s="18"/>
      <c r="D17" s="18"/>
      <c r="E17" s="3"/>
      <c r="F17" s="3"/>
      <c r="G17" s="3"/>
      <c r="H17" s="3"/>
      <c r="I17" s="3"/>
      <c r="J17" s="3"/>
      <c r="K17" s="5"/>
      <c r="L17" s="5"/>
      <c r="M17" s="3"/>
      <c r="N17" s="3"/>
      <c r="O17" s="4" t="str">
        <f t="shared" ca="1" si="0"/>
      </c>
      <c r="P17" s="3"/>
    </row>
    <row r="18" spans="1:16" ht="26.1" customHeight="1">
      <c r="A18" s="18"/>
      <c r="B18" s="18"/>
      <c r="C18" s="18"/>
      <c r="D18" s="18"/>
      <c r="E18" s="3"/>
      <c r="F18" s="3"/>
      <c r="G18" s="3"/>
      <c r="H18" s="3"/>
      <c r="I18" s="3"/>
      <c r="J18" s="3"/>
      <c r="K18" s="5"/>
      <c r="L18" s="5"/>
      <c r="M18" s="3"/>
      <c r="N18" s="3"/>
      <c r="O18" s="4" t="str">
        <f t="shared" ca="1" si="0"/>
      </c>
      <c r="P18" s="3"/>
    </row>
    <row r="19" spans="1:16" ht="26.1" customHeight="1">
      <c r="A19" s="18"/>
      <c r="B19" s="18"/>
      <c r="C19" s="18"/>
      <c r="D19" s="18"/>
      <c r="E19" s="3"/>
      <c r="F19" s="3"/>
      <c r="G19" s="3"/>
      <c r="H19" s="3"/>
      <c r="I19" s="3"/>
      <c r="J19" s="3"/>
      <c r="K19" s="5"/>
      <c r="L19" s="5"/>
      <c r="M19" s="3"/>
      <c r="N19" s="3"/>
      <c r="O19" s="4" t="str">
        <f t="shared" ca="1" si="0"/>
      </c>
      <c r="P19" s="3"/>
    </row>
    <row r="20" spans="1:16" ht="26.1" customHeight="1">
      <c r="A20" s="18"/>
      <c r="B20" s="18"/>
      <c r="C20" s="18"/>
      <c r="D20" s="18"/>
      <c r="E20" s="3"/>
      <c r="F20" s="3"/>
      <c r="G20" s="3"/>
      <c r="H20" s="3"/>
      <c r="I20" s="3"/>
      <c r="J20" s="3"/>
      <c r="K20" s="5"/>
      <c r="L20" s="5"/>
      <c r="M20" s="3"/>
      <c r="N20" s="3"/>
      <c r="O20" s="4" t="str">
        <f t="shared" ca="1" si="0"/>
      </c>
      <c r="P20" s="3"/>
    </row>
    <row r="21" spans="1:16" ht="26.1" customHeight="1">
      <c r="A21" s="18"/>
      <c r="B21" s="18"/>
      <c r="C21" s="18"/>
      <c r="D21" s="18"/>
      <c r="E21" s="3"/>
      <c r="F21" s="3"/>
      <c r="G21" s="3"/>
      <c r="H21" s="3"/>
      <c r="I21" s="3"/>
      <c r="J21" s="3"/>
      <c r="K21" s="5"/>
      <c r="L21" s="5"/>
      <c r="M21" s="3"/>
      <c r="N21" s="3"/>
      <c r="O21" s="4" t="str">
        <f t="shared" ca="1" si="0"/>
      </c>
      <c r="P21" s="3"/>
    </row>
    <row r="22" spans="1:16" ht="26.1" customHeight="1">
      <c r="A22" s="18"/>
      <c r="B22" s="18"/>
      <c r="C22" s="18"/>
      <c r="D22" s="18"/>
      <c r="E22" s="3"/>
      <c r="F22" s="3"/>
      <c r="G22" s="3"/>
      <c r="H22" s="3"/>
      <c r="I22" s="3"/>
      <c r="J22" s="3"/>
      <c r="K22" s="5"/>
      <c r="L22" s="5"/>
      <c r="M22" s="3"/>
      <c r="N22" s="3"/>
      <c r="O22" s="4" t="str">
        <f t="shared" ca="1" si="0"/>
      </c>
      <c r="P22" s="3"/>
    </row>
    <row r="23" spans="1:16" ht="26.1" customHeight="1">
      <c r="A23" s="18"/>
      <c r="B23" s="18"/>
      <c r="C23" s="18"/>
      <c r="D23" s="18"/>
      <c r="E23" s="3"/>
      <c r="F23" s="3"/>
      <c r="G23" s="3"/>
      <c r="H23" s="3"/>
      <c r="I23" s="3"/>
      <c r="J23" s="3"/>
      <c r="K23" s="5"/>
      <c r="L23" s="5"/>
      <c r="M23" s="3"/>
      <c r="N23" s="3"/>
      <c r="O23" s="4" t="str">
        <f t="shared" ca="1" si="0"/>
      </c>
      <c r="P23" s="3"/>
    </row>
    <row r="24" spans="1:16" ht="26.1" customHeight="1">
      <c r="A24" s="18"/>
      <c r="B24" s="18"/>
      <c r="C24" s="18"/>
      <c r="D24" s="18"/>
      <c r="E24" s="3"/>
      <c r="F24" s="3"/>
      <c r="G24" s="3"/>
      <c r="H24" s="3"/>
      <c r="I24" s="3"/>
      <c r="J24" s="3"/>
      <c r="K24" s="5"/>
      <c r="L24" s="5"/>
      <c r="M24" s="3"/>
      <c r="N24" s="3"/>
      <c r="O24" s="4" t="str">
        <f t="shared" ca="1" si="0"/>
      </c>
      <c r="P24" s="3"/>
    </row>
    <row r="25" spans="1:16" ht="26.1" customHeight="1">
      <c r="A25" s="18"/>
      <c r="B25" s="18"/>
      <c r="C25" s="18"/>
      <c r="D25" s="18"/>
      <c r="E25" s="3"/>
      <c r="F25" s="3"/>
      <c r="G25" s="3"/>
      <c r="H25" s="3"/>
      <c r="I25" s="3"/>
      <c r="J25" s="3"/>
      <c r="K25" s="5"/>
      <c r="L25" s="5"/>
      <c r="M25" s="3"/>
      <c r="N25" s="3"/>
      <c r="O25" s="4" t="str">
        <f t="shared" ca="1" si="0"/>
      </c>
      <c r="P25" s="3"/>
    </row>
    <row r="26" spans="1:16" ht="26.1" customHeight="1">
      <c r="A26" s="18"/>
      <c r="B26" s="18"/>
      <c r="C26" s="18"/>
      <c r="D26" s="18"/>
      <c r="E26" s="3"/>
      <c r="F26" s="3"/>
      <c r="G26" s="3"/>
      <c r="H26" s="3"/>
      <c r="I26" s="3"/>
      <c r="J26" s="3"/>
      <c r="K26" s="5"/>
      <c r="L26" s="5"/>
      <c r="M26" s="3"/>
      <c r="N26" s="3"/>
      <c r="O26" s="4" t="str">
        <f t="shared" ca="1" si="0"/>
      </c>
      <c r="P26" s="3"/>
    </row>
    <row r="27" spans="1:16" ht="26.1" customHeight="1">
      <c r="A27" s="18"/>
      <c r="B27" s="18"/>
      <c r="C27" s="18"/>
      <c r="D27" s="18"/>
      <c r="E27" s="3"/>
      <c r="F27" s="3"/>
      <c r="G27" s="3"/>
      <c r="H27" s="3"/>
      <c r="I27" s="3"/>
      <c r="J27" s="3"/>
      <c r="K27" s="5"/>
      <c r="L27" s="5"/>
      <c r="M27" s="3"/>
      <c r="N27" s="3"/>
      <c r="O27" s="4" t="str">
        <f t="shared" ca="1" si="0"/>
      </c>
      <c r="P27" s="3"/>
    </row>
    <row r="28" spans="1:16" ht="26.1" customHeight="1">
      <c r="A28" s="18"/>
      <c r="B28" s="18"/>
      <c r="C28" s="18"/>
      <c r="D28" s="18"/>
      <c r="E28" s="3"/>
      <c r="F28" s="3"/>
      <c r="G28" s="3"/>
      <c r="H28" s="3"/>
      <c r="I28" s="3"/>
      <c r="J28" s="3"/>
      <c r="K28" s="5"/>
      <c r="L28" s="5"/>
      <c r="M28" s="3"/>
      <c r="N28" s="3"/>
      <c r="O28" s="4" t="str">
        <f t="shared" ca="1" si="0"/>
      </c>
      <c r="P28" s="3"/>
    </row>
    <row r="29" spans="1:16" ht="26.1" customHeight="1">
      <c r="A29" s="18"/>
      <c r="B29" s="18"/>
      <c r="C29" s="18"/>
      <c r="D29" s="18"/>
      <c r="E29" s="3"/>
      <c r="F29" s="3"/>
      <c r="G29" s="3"/>
      <c r="H29" s="3"/>
      <c r="I29" s="3"/>
      <c r="J29" s="3"/>
      <c r="K29" s="5"/>
      <c r="L29" s="5"/>
      <c r="M29" s="3"/>
      <c r="N29" s="3"/>
      <c r="O29" s="4" t="str">
        <f t="shared" ca="1" si="0"/>
      </c>
      <c r="P29" s="3"/>
    </row>
    <row r="30" spans="1:16" ht="26.1" customHeight="1">
      <c r="A30" s="18"/>
      <c r="B30" s="18"/>
      <c r="C30" s="18"/>
      <c r="D30" s="18"/>
      <c r="E30" s="3"/>
      <c r="F30" s="3"/>
      <c r="G30" s="3"/>
      <c r="H30" s="3"/>
      <c r="I30" s="3"/>
      <c r="J30" s="3"/>
      <c r="K30" s="5"/>
      <c r="L30" s="5"/>
      <c r="M30" s="3"/>
      <c r="N30" s="3"/>
      <c r="O30" s="4" t="str">
        <f t="shared" ca="1" si="0"/>
      </c>
      <c r="P30" s="3"/>
    </row>
    <row r="31" spans="1:16" ht="26.1" customHeight="1">
      <c r="A31" s="18"/>
      <c r="B31" s="18"/>
      <c r="C31" s="18"/>
      <c r="D31" s="18"/>
      <c r="E31" s="3"/>
      <c r="F31" s="3"/>
      <c r="G31" s="3"/>
      <c r="H31" s="3"/>
      <c r="I31" s="3"/>
      <c r="J31" s="3"/>
      <c r="K31" s="5"/>
      <c r="L31" s="5"/>
      <c r="M31" s="3"/>
      <c r="N31" s="3"/>
      <c r="O31" s="4" t="str">
        <f t="shared" ca="1" si="0"/>
      </c>
      <c r="P31" s="3"/>
    </row>
    <row r="32" spans="1:16" ht="26.1" customHeight="1">
      <c r="A32" s="18"/>
      <c r="B32" s="18"/>
      <c r="C32" s="18"/>
      <c r="D32" s="18"/>
      <c r="E32" s="3"/>
      <c r="F32" s="3"/>
      <c r="G32" s="3"/>
      <c r="H32" s="3"/>
      <c r="I32" s="3"/>
      <c r="J32" s="3"/>
      <c r="K32" s="5"/>
      <c r="L32" s="5"/>
      <c r="M32" s="3"/>
      <c r="N32" s="3"/>
      <c r="O32" s="4" t="str">
        <f t="shared" ca="1" si="0"/>
      </c>
      <c r="P32" s="3"/>
    </row>
    <row r="33" spans="1:16" ht="26.1" customHeight="1">
      <c r="A33" s="18"/>
      <c r="B33" s="18"/>
      <c r="C33" s="18"/>
      <c r="D33" s="18"/>
      <c r="E33" s="3"/>
      <c r="F33" s="3"/>
      <c r="G33" s="3"/>
      <c r="H33" s="3"/>
      <c r="I33" s="3"/>
      <c r="J33" s="3"/>
      <c r="K33" s="5"/>
      <c r="L33" s="5"/>
      <c r="M33" s="3"/>
      <c r="N33" s="3"/>
      <c r="O33" s="4" t="str">
        <f t="shared" ca="1" si="0"/>
      </c>
      <c r="P33" s="3"/>
    </row>
    <row r="34" spans="1:16" ht="26.1" customHeight="1">
      <c r="A34" s="18"/>
      <c r="B34" s="18"/>
      <c r="C34" s="18"/>
      <c r="D34" s="18"/>
      <c r="E34" s="3"/>
      <c r="F34" s="3"/>
      <c r="G34" s="3"/>
      <c r="H34" s="3"/>
      <c r="I34" s="3"/>
      <c r="J34" s="3"/>
      <c r="K34" s="5"/>
      <c r="L34" s="5"/>
      <c r="M34" s="3"/>
      <c r="N34" s="3"/>
      <c r="O34" s="4" t="str">
        <f t="shared" ca="1" si="0"/>
      </c>
      <c r="P34" s="3"/>
    </row>
    <row r="35" spans="1:16" ht="26.1" customHeight="1">
      <c r="A35" s="18"/>
      <c r="B35" s="18"/>
      <c r="C35" s="18"/>
      <c r="D35" s="18"/>
      <c r="E35" s="3"/>
      <c r="F35" s="3"/>
      <c r="G35" s="3"/>
      <c r="H35" s="3"/>
      <c r="I35" s="3"/>
      <c r="J35" s="3"/>
      <c r="K35" s="5"/>
      <c r="L35" s="5"/>
      <c r="M35" s="3"/>
      <c r="N35" s="3"/>
      <c r="O35" s="4" t="str">
        <f t="shared" ca="1" si="0"/>
      </c>
      <c r="P35" s="3"/>
    </row>
    <row r="36" spans="1:16" ht="26.1" customHeight="1">
      <c r="A36" s="18"/>
      <c r="B36" s="18"/>
      <c r="C36" s="18"/>
      <c r="D36" s="18"/>
      <c r="E36" s="3"/>
      <c r="F36" s="3"/>
      <c r="G36" s="3"/>
      <c r="H36" s="3"/>
      <c r="I36" s="3"/>
      <c r="J36" s="3"/>
      <c r="K36" s="5"/>
      <c r="L36" s="5"/>
      <c r="M36" s="3"/>
      <c r="N36" s="3"/>
      <c r="O36" s="4" t="str">
        <f t="shared" ca="1" si="0"/>
      </c>
      <c r="P36" s="3"/>
    </row>
    <row r="37" spans="1:16" ht="26.1" customHeight="1">
      <c r="A37" s="18"/>
      <c r="B37" s="18"/>
      <c r="C37" s="18"/>
      <c r="D37" s="18"/>
      <c r="E37" s="3"/>
      <c r="F37" s="3"/>
      <c r="G37" s="3"/>
      <c r="H37" s="3"/>
      <c r="I37" s="3"/>
      <c r="J37" s="3"/>
      <c r="K37" s="5"/>
      <c r="L37" s="5"/>
      <c r="M37" s="3"/>
      <c r="N37" s="3"/>
      <c r="O37" s="4" t="str">
        <f t="shared" ca="1" si="0"/>
      </c>
      <c r="P37" s="3"/>
    </row>
    <row r="38" spans="1:16" ht="26.1" customHeight="1">
      <c r="A38" s="18"/>
      <c r="B38" s="18"/>
      <c r="C38" s="18"/>
      <c r="D38" s="18"/>
      <c r="E38" s="3"/>
      <c r="F38" s="3"/>
      <c r="G38" s="3"/>
      <c r="H38" s="3"/>
      <c r="I38" s="3"/>
      <c r="J38" s="3"/>
      <c r="K38" s="5"/>
      <c r="L38" s="5"/>
      <c r="M38" s="3"/>
      <c r="N38" s="3"/>
      <c r="O38" s="4" t="str">
        <f t="shared" ca="1" si="0"/>
      </c>
      <c r="P38" s="3"/>
    </row>
    <row r="39" spans="1:16" ht="26.1" customHeight="1">
      <c r="A39" s="18"/>
      <c r="B39" s="18"/>
      <c r="C39" s="18"/>
      <c r="D39" s="18"/>
      <c r="E39" s="3"/>
      <c r="F39" s="3"/>
      <c r="G39" s="3"/>
      <c r="H39" s="3"/>
      <c r="I39" s="3"/>
      <c r="J39" s="3"/>
      <c r="K39" s="5"/>
      <c r="L39" s="5"/>
      <c r="M39" s="3"/>
      <c r="N39" s="3"/>
      <c r="O39" s="4" t="str">
        <f t="shared" ref="O39:O70" ca="1" si="1">IF(E39="","",IF(ISNUMBER(K39),IF(J39="Completed",0,MAX(0,TODAY()-K39)),""))</f>
      </c>
      <c r="P39" s="3"/>
    </row>
    <row r="40" spans="1:16" ht="26.1" customHeight="1">
      <c r="A40" s="18"/>
      <c r="B40" s="18"/>
      <c r="C40" s="18"/>
      <c r="D40" s="18"/>
      <c r="E40" s="3"/>
      <c r="F40" s="3"/>
      <c r="G40" s="3"/>
      <c r="H40" s="3"/>
      <c r="I40" s="3"/>
      <c r="J40" s="3"/>
      <c r="K40" s="5"/>
      <c r="L40" s="5"/>
      <c r="M40" s="3"/>
      <c r="N40" s="3"/>
      <c r="O40" s="4" t="str">
        <f t="shared" ca="1" si="1"/>
      </c>
      <c r="P40" s="3"/>
    </row>
    <row r="41" spans="1:16" ht="26.1" customHeight="1">
      <c r="A41" s="18"/>
      <c r="B41" s="18"/>
      <c r="C41" s="18"/>
      <c r="D41" s="18"/>
      <c r="E41" s="3"/>
      <c r="F41" s="3"/>
      <c r="G41" s="3"/>
      <c r="H41" s="3"/>
      <c r="I41" s="3"/>
      <c r="J41" s="3"/>
      <c r="K41" s="5"/>
      <c r="L41" s="5"/>
      <c r="M41" s="3"/>
      <c r="N41" s="3"/>
      <c r="O41" s="4" t="str">
        <f t="shared" ca="1" si="1"/>
      </c>
      <c r="P41" s="3"/>
    </row>
    <row r="42" spans="1:16" ht="26.1" customHeight="1">
      <c r="A42" s="18"/>
      <c r="B42" s="18"/>
      <c r="C42" s="18"/>
      <c r="D42" s="18"/>
      <c r="E42" s="3"/>
      <c r="F42" s="3"/>
      <c r="G42" s="3"/>
      <c r="H42" s="3"/>
      <c r="I42" s="3"/>
      <c r="J42" s="3"/>
      <c r="K42" s="5"/>
      <c r="L42" s="5"/>
      <c r="M42" s="3"/>
      <c r="N42" s="3"/>
      <c r="O42" s="4" t="str">
        <f t="shared" ca="1" si="1"/>
      </c>
      <c r="P42" s="3"/>
    </row>
    <row r="43" spans="1:16" ht="26.1" customHeight="1">
      <c r="A43" s="18"/>
      <c r="B43" s="18"/>
      <c r="C43" s="18"/>
      <c r="D43" s="18"/>
      <c r="E43" s="3"/>
      <c r="F43" s="3"/>
      <c r="G43" s="3"/>
      <c r="H43" s="3"/>
      <c r="I43" s="3"/>
      <c r="J43" s="3"/>
      <c r="K43" s="5"/>
      <c r="L43" s="5"/>
      <c r="M43" s="3"/>
      <c r="N43" s="3"/>
      <c r="O43" s="4" t="str">
        <f t="shared" ca="1" si="1"/>
      </c>
      <c r="P43" s="3"/>
    </row>
    <row r="44" spans="1:16" ht="26.1" customHeight="1">
      <c r="A44" s="18"/>
      <c r="B44" s="18"/>
      <c r="C44" s="18"/>
      <c r="D44" s="18"/>
      <c r="E44" s="3"/>
      <c r="F44" s="3"/>
      <c r="G44" s="3"/>
      <c r="H44" s="3"/>
      <c r="I44" s="3"/>
      <c r="J44" s="3"/>
      <c r="K44" s="5"/>
      <c r="L44" s="5"/>
      <c r="M44" s="3"/>
      <c r="N44" s="3"/>
      <c r="O44" s="4" t="str">
        <f t="shared" ca="1" si="1"/>
      </c>
      <c r="P44" s="3"/>
    </row>
    <row r="45" spans="1:16" ht="26.1" customHeight="1">
      <c r="A45" s="18"/>
      <c r="B45" s="18"/>
      <c r="C45" s="18"/>
      <c r="D45" s="18"/>
      <c r="E45" s="3"/>
      <c r="F45" s="3"/>
      <c r="G45" s="3"/>
      <c r="H45" s="3"/>
      <c r="I45" s="3"/>
      <c r="J45" s="3"/>
      <c r="K45" s="5"/>
      <c r="L45" s="5"/>
      <c r="M45" s="3"/>
      <c r="N45" s="3"/>
      <c r="O45" s="4" t="str">
        <f t="shared" ca="1" si="1"/>
      </c>
      <c r="P45" s="3"/>
    </row>
    <row r="46" spans="1:16" ht="26.1" customHeight="1">
      <c r="A46" s="18"/>
      <c r="B46" s="18"/>
      <c r="C46" s="18"/>
      <c r="D46" s="18"/>
      <c r="E46" s="3"/>
      <c r="F46" s="3"/>
      <c r="G46" s="3"/>
      <c r="H46" s="3"/>
      <c r="I46" s="3"/>
      <c r="J46" s="3"/>
      <c r="K46" s="5"/>
      <c r="L46" s="5"/>
      <c r="M46" s="3"/>
      <c r="N46" s="3"/>
      <c r="O46" s="4" t="str">
        <f t="shared" ca="1" si="1"/>
      </c>
      <c r="P46" s="3"/>
    </row>
    <row r="47" spans="1:16" ht="26.1" customHeight="1">
      <c r="A47" s="18"/>
      <c r="B47" s="18"/>
      <c r="C47" s="18"/>
      <c r="D47" s="18"/>
      <c r="E47" s="3"/>
      <c r="F47" s="3"/>
      <c r="G47" s="3"/>
      <c r="H47" s="3"/>
      <c r="I47" s="3"/>
      <c r="J47" s="3"/>
      <c r="K47" s="5"/>
      <c r="L47" s="5"/>
      <c r="M47" s="3"/>
      <c r="N47" s="3"/>
      <c r="O47" s="4" t="str">
        <f t="shared" ca="1" si="1"/>
      </c>
      <c r="P47" s="3"/>
    </row>
    <row r="48" spans="1:16" ht="26.1" customHeight="1">
      <c r="A48" s="18"/>
      <c r="B48" s="18"/>
      <c r="C48" s="18"/>
      <c r="D48" s="18"/>
      <c r="E48" s="3"/>
      <c r="F48" s="3"/>
      <c r="G48" s="3"/>
      <c r="H48" s="3"/>
      <c r="I48" s="3"/>
      <c r="J48" s="3"/>
      <c r="K48" s="5"/>
      <c r="L48" s="5"/>
      <c r="M48" s="3"/>
      <c r="N48" s="3"/>
      <c r="O48" s="4" t="str">
        <f t="shared" ca="1" si="1"/>
      </c>
      <c r="P48" s="3"/>
    </row>
    <row r="49" spans="1:16" ht="26.1" customHeight="1">
      <c r="A49" s="18"/>
      <c r="B49" s="18"/>
      <c r="C49" s="18"/>
      <c r="D49" s="18"/>
      <c r="E49" s="3"/>
      <c r="F49" s="3"/>
      <c r="G49" s="3"/>
      <c r="H49" s="3"/>
      <c r="I49" s="3"/>
      <c r="J49" s="3"/>
      <c r="K49" s="5"/>
      <c r="L49" s="5"/>
      <c r="M49" s="3"/>
      <c r="N49" s="3"/>
      <c r="O49" s="4" t="str">
        <f t="shared" ca="1" si="1"/>
      </c>
      <c r="P49" s="3"/>
    </row>
    <row r="50" spans="1:16" ht="26.1" customHeight="1">
      <c r="A50" s="18"/>
      <c r="B50" s="18"/>
      <c r="C50" s="18"/>
      <c r="D50" s="18"/>
      <c r="E50" s="3"/>
      <c r="F50" s="3"/>
      <c r="G50" s="3"/>
      <c r="H50" s="3"/>
      <c r="I50" s="3"/>
      <c r="J50" s="3"/>
      <c r="K50" s="5"/>
      <c r="L50" s="5"/>
      <c r="M50" s="3"/>
      <c r="N50" s="3"/>
      <c r="O50" s="4" t="str">
        <f t="shared" ca="1" si="1"/>
      </c>
      <c r="P50" s="3"/>
    </row>
    <row r="51" spans="1:16" ht="26.1" customHeight="1">
      <c r="A51" s="18"/>
      <c r="B51" s="18"/>
      <c r="C51" s="18"/>
      <c r="D51" s="18"/>
      <c r="E51" s="3"/>
      <c r="F51" s="3"/>
      <c r="G51" s="3"/>
      <c r="H51" s="3"/>
      <c r="I51" s="3"/>
      <c r="J51" s="3"/>
      <c r="K51" s="5"/>
      <c r="L51" s="5"/>
      <c r="M51" s="3"/>
      <c r="N51" s="3"/>
      <c r="O51" s="4" t="str">
        <f t="shared" ca="1" si="1"/>
      </c>
      <c r="P51" s="3"/>
    </row>
    <row r="52" spans="1:16" ht="26.1" customHeight="1">
      <c r="A52" s="18"/>
      <c r="B52" s="18"/>
      <c r="C52" s="18"/>
      <c r="D52" s="18"/>
      <c r="E52" s="3"/>
      <c r="F52" s="3"/>
      <c r="G52" s="3"/>
      <c r="H52" s="3"/>
      <c r="I52" s="3"/>
      <c r="J52" s="3"/>
      <c r="K52" s="5"/>
      <c r="L52" s="5"/>
      <c r="M52" s="3"/>
      <c r="N52" s="3"/>
      <c r="O52" s="4" t="str">
        <f t="shared" ca="1" si="1"/>
      </c>
      <c r="P52" s="3"/>
    </row>
    <row r="53" spans="1:16" ht="26.1" customHeight="1">
      <c r="A53" s="18"/>
      <c r="B53" s="18"/>
      <c r="C53" s="18"/>
      <c r="D53" s="18"/>
      <c r="E53" s="3"/>
      <c r="F53" s="3"/>
      <c r="G53" s="3"/>
      <c r="H53" s="3"/>
      <c r="I53" s="3"/>
      <c r="J53" s="3"/>
      <c r="K53" s="5"/>
      <c r="L53" s="5"/>
      <c r="M53" s="3"/>
      <c r="N53" s="3"/>
      <c r="O53" s="4" t="str">
        <f t="shared" ca="1" si="1"/>
      </c>
      <c r="P53" s="3"/>
    </row>
    <row r="54" spans="1:16" ht="26.1" customHeight="1">
      <c r="A54" s="18"/>
      <c r="B54" s="18"/>
      <c r="C54" s="18"/>
      <c r="D54" s="18"/>
      <c r="E54" s="3"/>
      <c r="F54" s="3"/>
      <c r="G54" s="3"/>
      <c r="H54" s="3"/>
      <c r="I54" s="3"/>
      <c r="J54" s="3"/>
      <c r="K54" s="5"/>
      <c r="L54" s="5"/>
      <c r="M54" s="3"/>
      <c r="N54" s="3"/>
      <c r="O54" s="4" t="str">
        <f t="shared" ca="1" si="1"/>
      </c>
      <c r="P54" s="3"/>
    </row>
    <row r="55" spans="1:16" ht="26.1" customHeight="1">
      <c r="A55" s="18"/>
      <c r="B55" s="18"/>
      <c r="C55" s="18"/>
      <c r="D55" s="18"/>
      <c r="E55" s="3"/>
      <c r="F55" s="3"/>
      <c r="G55" s="3"/>
      <c r="H55" s="3"/>
      <c r="I55" s="3"/>
      <c r="J55" s="3"/>
      <c r="K55" s="5"/>
      <c r="L55" s="5"/>
      <c r="M55" s="3"/>
      <c r="N55" s="3"/>
      <c r="O55" s="4" t="str">
        <f t="shared" ca="1" si="1"/>
      </c>
      <c r="P55" s="3"/>
    </row>
    <row r="56" spans="1:16" ht="26.1" customHeight="1">
      <c r="A56" s="18"/>
      <c r="B56" s="18"/>
      <c r="C56" s="18"/>
      <c r="D56" s="18"/>
      <c r="E56" s="3"/>
      <c r="F56" s="3"/>
      <c r="G56" s="3"/>
      <c r="H56" s="3"/>
      <c r="I56" s="3"/>
      <c r="J56" s="3"/>
      <c r="K56" s="5"/>
      <c r="L56" s="5"/>
      <c r="M56" s="3"/>
      <c r="N56" s="3"/>
      <c r="O56" s="4" t="str">
        <f t="shared" ca="1" si="1"/>
      </c>
      <c r="P56" s="3"/>
    </row>
    <row r="57" spans="1:16" ht="26.1" customHeight="1">
      <c r="A57" s="18"/>
      <c r="B57" s="18"/>
      <c r="C57" s="18"/>
      <c r="D57" s="18"/>
      <c r="E57" s="3"/>
      <c r="F57" s="3"/>
      <c r="G57" s="3"/>
      <c r="H57" s="3"/>
      <c r="I57" s="3"/>
      <c r="J57" s="3"/>
      <c r="K57" s="5"/>
      <c r="L57" s="5"/>
      <c r="M57" s="3"/>
      <c r="N57" s="3"/>
      <c r="O57" s="4" t="str">
        <f t="shared" ca="1" si="1"/>
      </c>
      <c r="P57" s="3"/>
    </row>
    <row r="58" spans="1:16" ht="26.1" customHeight="1">
      <c r="A58" s="18"/>
      <c r="B58" s="18"/>
      <c r="C58" s="18"/>
      <c r="D58" s="18"/>
      <c r="E58" s="3"/>
      <c r="F58" s="3"/>
      <c r="G58" s="3"/>
      <c r="H58" s="3"/>
      <c r="I58" s="3"/>
      <c r="J58" s="3"/>
      <c r="K58" s="5"/>
      <c r="L58" s="5"/>
      <c r="M58" s="3"/>
      <c r="N58" s="3"/>
      <c r="O58" s="4" t="str">
        <f t="shared" ca="1" si="1"/>
      </c>
      <c r="P58" s="3"/>
    </row>
    <row r="59" spans="1:16" ht="26.1" customHeight="1">
      <c r="A59" s="18"/>
      <c r="B59" s="18"/>
      <c r="C59" s="18"/>
      <c r="D59" s="18"/>
      <c r="E59" s="3"/>
      <c r="F59" s="3"/>
      <c r="G59" s="3"/>
      <c r="H59" s="3"/>
      <c r="I59" s="3"/>
      <c r="J59" s="3"/>
      <c r="K59" s="5"/>
      <c r="L59" s="5"/>
      <c r="M59" s="3"/>
      <c r="N59" s="3"/>
      <c r="O59" s="4" t="str">
        <f t="shared" ca="1" si="1"/>
      </c>
      <c r="P59" s="3"/>
    </row>
    <row r="60" spans="1:16" ht="26.1" customHeight="1">
      <c r="A60" s="18"/>
      <c r="B60" s="18"/>
      <c r="C60" s="18"/>
      <c r="D60" s="18"/>
      <c r="E60" s="3"/>
      <c r="F60" s="3"/>
      <c r="G60" s="3"/>
      <c r="H60" s="3"/>
      <c r="I60" s="3"/>
      <c r="J60" s="3"/>
      <c r="K60" s="5"/>
      <c r="L60" s="5"/>
      <c r="M60" s="3"/>
      <c r="N60" s="3"/>
      <c r="O60" s="4" t="str">
        <f t="shared" ca="1" si="1"/>
      </c>
      <c r="P60" s="3"/>
    </row>
    <row r="61" spans="1:16" ht="26.1" customHeight="1">
      <c r="A61" s="18"/>
      <c r="B61" s="18"/>
      <c r="C61" s="18"/>
      <c r="D61" s="18"/>
      <c r="E61" s="3"/>
      <c r="F61" s="3"/>
      <c r="G61" s="3"/>
      <c r="H61" s="3"/>
      <c r="I61" s="3"/>
      <c r="J61" s="3"/>
      <c r="K61" s="5"/>
      <c r="L61" s="5"/>
      <c r="M61" s="3"/>
      <c r="N61" s="3"/>
      <c r="O61" s="4" t="str">
        <f t="shared" ca="1" si="1"/>
      </c>
      <c r="P61" s="3"/>
    </row>
    <row r="62" spans="1:16" ht="26.1" customHeight="1">
      <c r="A62" s="18"/>
      <c r="B62" s="18"/>
      <c r="C62" s="18"/>
      <c r="D62" s="18"/>
      <c r="E62" s="3"/>
      <c r="F62" s="3"/>
      <c r="G62" s="3"/>
      <c r="H62" s="3"/>
      <c r="I62" s="3"/>
      <c r="J62" s="3"/>
      <c r="K62" s="5"/>
      <c r="L62" s="5"/>
      <c r="M62" s="3"/>
      <c r="N62" s="3"/>
      <c r="O62" s="4" t="str">
        <f t="shared" ca="1" si="1"/>
      </c>
      <c r="P62" s="3"/>
    </row>
    <row r="63" spans="1:16" ht="26.1" customHeight="1">
      <c r="A63" s="18"/>
      <c r="B63" s="18"/>
      <c r="C63" s="18"/>
      <c r="D63" s="18"/>
      <c r="E63" s="3"/>
      <c r="F63" s="3"/>
      <c r="G63" s="3"/>
      <c r="H63" s="3"/>
      <c r="I63" s="3"/>
      <c r="J63" s="3"/>
      <c r="K63" s="5"/>
      <c r="L63" s="5"/>
      <c r="M63" s="3"/>
      <c r="N63" s="3"/>
      <c r="O63" s="4" t="str">
        <f t="shared" ca="1" si="1"/>
      </c>
      <c r="P63" s="3"/>
    </row>
    <row r="64" spans="1:16" ht="26.1" customHeight="1">
      <c r="A64" s="18"/>
      <c r="B64" s="18"/>
      <c r="C64" s="18"/>
      <c r="D64" s="18"/>
      <c r="E64" s="3"/>
      <c r="F64" s="3"/>
      <c r="G64" s="3"/>
      <c r="H64" s="3"/>
      <c r="I64" s="3"/>
      <c r="J64" s="3"/>
      <c r="K64" s="5"/>
      <c r="L64" s="5"/>
      <c r="M64" s="3"/>
      <c r="N64" s="3"/>
      <c r="O64" s="4" t="str">
        <f t="shared" ca="1" si="1"/>
      </c>
      <c r="P64" s="3"/>
    </row>
    <row r="65" spans="1:16" ht="26.1" customHeight="1">
      <c r="A65" s="18"/>
      <c r="B65" s="18"/>
      <c r="C65" s="18"/>
      <c r="D65" s="18"/>
      <c r="E65" s="3"/>
      <c r="F65" s="3"/>
      <c r="G65" s="3"/>
      <c r="H65" s="3"/>
      <c r="I65" s="3"/>
      <c r="J65" s="3"/>
      <c r="K65" s="5"/>
      <c r="L65" s="5"/>
      <c r="M65" s="3"/>
      <c r="N65" s="3"/>
      <c r="O65" s="4" t="str">
        <f t="shared" ca="1" si="1"/>
      </c>
      <c r="P65" s="3"/>
    </row>
    <row r="66" spans="1:16" ht="26.1" customHeight="1">
      <c r="A66" s="18"/>
      <c r="B66" s="18"/>
      <c r="C66" s="18"/>
      <c r="D66" s="18"/>
      <c r="E66" s="3"/>
      <c r="F66" s="3"/>
      <c r="G66" s="3"/>
      <c r="H66" s="3"/>
      <c r="I66" s="3"/>
      <c r="J66" s="3"/>
      <c r="K66" s="5"/>
      <c r="L66" s="5"/>
      <c r="M66" s="3"/>
      <c r="N66" s="3"/>
      <c r="O66" s="4" t="str">
        <f t="shared" ca="1" si="1"/>
      </c>
      <c r="P66" s="3"/>
    </row>
    <row r="67" spans="1:16" ht="26.1" customHeight="1">
      <c r="A67" s="18"/>
      <c r="B67" s="18"/>
      <c r="C67" s="18"/>
      <c r="D67" s="18"/>
      <c r="E67" s="3"/>
      <c r="F67" s="3"/>
      <c r="G67" s="3"/>
      <c r="H67" s="3"/>
      <c r="I67" s="3"/>
      <c r="J67" s="3"/>
      <c r="K67" s="5"/>
      <c r="L67" s="5"/>
      <c r="M67" s="3"/>
      <c r="N67" s="3"/>
      <c r="O67" s="4" t="str">
        <f t="shared" ca="1" si="1"/>
      </c>
      <c r="P67" s="3"/>
    </row>
    <row r="68" spans="1:16" ht="26.1" customHeight="1">
      <c r="A68" s="18"/>
      <c r="B68" s="18"/>
      <c r="C68" s="18"/>
      <c r="D68" s="18"/>
      <c r="E68" s="3"/>
      <c r="F68" s="3"/>
      <c r="G68" s="3"/>
      <c r="H68" s="3"/>
      <c r="I68" s="3"/>
      <c r="J68" s="3"/>
      <c r="K68" s="5"/>
      <c r="L68" s="5"/>
      <c r="M68" s="3"/>
      <c r="N68" s="3"/>
      <c r="O68" s="4" t="str">
        <f t="shared" ca="1" si="1"/>
      </c>
      <c r="P68" s="3"/>
    </row>
    <row r="69" spans="1:16" ht="26.1" customHeight="1">
      <c r="A69" s="18"/>
      <c r="B69" s="18"/>
      <c r="C69" s="18"/>
      <c r="D69" s="18"/>
      <c r="E69" s="3"/>
      <c r="F69" s="3"/>
      <c r="G69" s="3"/>
      <c r="H69" s="3"/>
      <c r="I69" s="3"/>
      <c r="J69" s="3"/>
      <c r="K69" s="5"/>
      <c r="L69" s="5"/>
      <c r="M69" s="3"/>
      <c r="N69" s="3"/>
      <c r="O69" s="4" t="str">
        <f t="shared" ca="1" si="1"/>
      </c>
      <c r="P69" s="3"/>
    </row>
    <row r="70" spans="1:16" ht="26.1" customHeight="1">
      <c r="A70" s="18"/>
      <c r="B70" s="18"/>
      <c r="C70" s="18"/>
      <c r="D70" s="18"/>
      <c r="E70" s="3"/>
      <c r="F70" s="3"/>
      <c r="G70" s="3"/>
      <c r="H70" s="3"/>
      <c r="I70" s="3"/>
      <c r="J70" s="3"/>
      <c r="K70" s="5"/>
      <c r="L70" s="5"/>
      <c r="M70" s="3"/>
      <c r="N70" s="3"/>
      <c r="O70" s="4" t="str">
        <f t="shared" ca="1" si="1"/>
      </c>
      <c r="P70" s="3"/>
    </row>
    <row r="71" spans="1:16" ht="26.1" customHeight="1">
      <c r="A71" s="18"/>
      <c r="B71" s="18"/>
      <c r="C71" s="18"/>
      <c r="D71" s="18"/>
      <c r="E71" s="3"/>
      <c r="F71" s="3"/>
      <c r="G71" s="3"/>
      <c r="H71" s="3"/>
      <c r="I71" s="3"/>
      <c r="J71" s="3"/>
      <c r="K71" s="5"/>
      <c r="L71" s="5"/>
      <c r="M71" s="3"/>
      <c r="N71" s="3"/>
      <c r="O71" s="4" t="str">
        <f t="shared" ref="O71:O106" ca="1" si="2">IF(E71="","",IF(ISNUMBER(K71),IF(J71="Completed",0,MAX(0,TODAY()-K71)),""))</f>
      </c>
      <c r="P71" s="3"/>
    </row>
    <row r="72" spans="1:16" ht="26.1" customHeight="1">
      <c r="A72" s="18"/>
      <c r="B72" s="18"/>
      <c r="C72" s="18"/>
      <c r="D72" s="18"/>
      <c r="E72" s="3"/>
      <c r="F72" s="3"/>
      <c r="G72" s="3"/>
      <c r="H72" s="3"/>
      <c r="I72" s="3"/>
      <c r="J72" s="3"/>
      <c r="K72" s="5"/>
      <c r="L72" s="5"/>
      <c r="M72" s="3"/>
      <c r="N72" s="3"/>
      <c r="O72" s="4" t="str">
        <f t="shared" ca="1" si="2"/>
      </c>
      <c r="P72" s="3"/>
    </row>
    <row r="73" spans="1:16" ht="26.1" customHeight="1">
      <c r="A73" s="18"/>
      <c r="B73" s="18"/>
      <c r="C73" s="18"/>
      <c r="D73" s="18"/>
      <c r="E73" s="3"/>
      <c r="F73" s="3"/>
      <c r="G73" s="3"/>
      <c r="H73" s="3"/>
      <c r="I73" s="3"/>
      <c r="J73" s="3"/>
      <c r="K73" s="5"/>
      <c r="L73" s="5"/>
      <c r="M73" s="3"/>
      <c r="N73" s="3"/>
      <c r="O73" s="4" t="str">
        <f t="shared" ca="1" si="2"/>
      </c>
      <c r="P73" s="3"/>
    </row>
    <row r="74" spans="1:16" ht="26.1" customHeight="1">
      <c r="A74" s="18"/>
      <c r="B74" s="18"/>
      <c r="C74" s="18"/>
      <c r="D74" s="18"/>
      <c r="E74" s="3"/>
      <c r="F74" s="3"/>
      <c r="G74" s="3"/>
      <c r="H74" s="3"/>
      <c r="I74" s="3"/>
      <c r="J74" s="3"/>
      <c r="K74" s="5"/>
      <c r="L74" s="5"/>
      <c r="M74" s="3"/>
      <c r="N74" s="3"/>
      <c r="O74" s="4" t="str">
        <f t="shared" ca="1" si="2"/>
      </c>
      <c r="P74" s="3"/>
    </row>
    <row r="75" spans="1:16" ht="26.1" customHeight="1">
      <c r="A75" s="18"/>
      <c r="B75" s="18"/>
      <c r="C75" s="18"/>
      <c r="D75" s="18"/>
      <c r="E75" s="3"/>
      <c r="F75" s="3"/>
      <c r="G75" s="3"/>
      <c r="H75" s="3"/>
      <c r="I75" s="3"/>
      <c r="J75" s="3"/>
      <c r="K75" s="5"/>
      <c r="L75" s="5"/>
      <c r="M75" s="3"/>
      <c r="N75" s="3"/>
      <c r="O75" s="4" t="str">
        <f t="shared" ca="1" si="2"/>
      </c>
      <c r="P75" s="3"/>
    </row>
    <row r="76" spans="1:16" ht="26.1" customHeight="1">
      <c r="A76" s="18"/>
      <c r="B76" s="18"/>
      <c r="C76" s="18"/>
      <c r="D76" s="18"/>
      <c r="E76" s="3"/>
      <c r="F76" s="3"/>
      <c r="G76" s="3"/>
      <c r="H76" s="3"/>
      <c r="I76" s="3"/>
      <c r="J76" s="3"/>
      <c r="K76" s="5"/>
      <c r="L76" s="5"/>
      <c r="M76" s="3"/>
      <c r="N76" s="3"/>
      <c r="O76" s="4" t="str">
        <f t="shared" ca="1" si="2"/>
      </c>
      <c r="P76" s="3"/>
    </row>
    <row r="77" spans="1:16" ht="26.1" customHeight="1">
      <c r="A77" s="18"/>
      <c r="B77" s="18"/>
      <c r="C77" s="18"/>
      <c r="D77" s="18"/>
      <c r="E77" s="3"/>
      <c r="F77" s="3"/>
      <c r="G77" s="3"/>
      <c r="H77" s="3"/>
      <c r="I77" s="3"/>
      <c r="J77" s="3"/>
      <c r="K77" s="5"/>
      <c r="L77" s="5"/>
      <c r="M77" s="3"/>
      <c r="N77" s="3"/>
      <c r="O77" s="4" t="str">
        <f t="shared" ca="1" si="2"/>
      </c>
      <c r="P77" s="3"/>
    </row>
    <row r="78" spans="1:16" ht="26.1" customHeight="1">
      <c r="A78" s="18"/>
      <c r="B78" s="18"/>
      <c r="C78" s="18"/>
      <c r="D78" s="18"/>
      <c r="E78" s="3"/>
      <c r="F78" s="3"/>
      <c r="G78" s="3"/>
      <c r="H78" s="3"/>
      <c r="I78" s="3"/>
      <c r="J78" s="3"/>
      <c r="K78" s="5"/>
      <c r="L78" s="5"/>
      <c r="M78" s="3"/>
      <c r="N78" s="3"/>
      <c r="O78" s="4" t="str">
        <f t="shared" ca="1" si="2"/>
      </c>
      <c r="P78" s="3"/>
    </row>
    <row r="79" spans="1:16" ht="26.1" customHeight="1">
      <c r="A79" s="18"/>
      <c r="B79" s="18"/>
      <c r="C79" s="18"/>
      <c r="D79" s="18"/>
      <c r="E79" s="3"/>
      <c r="F79" s="3"/>
      <c r="G79" s="3"/>
      <c r="H79" s="3"/>
      <c r="I79" s="3"/>
      <c r="J79" s="3"/>
      <c r="K79" s="5"/>
      <c r="L79" s="5"/>
      <c r="M79" s="3"/>
      <c r="N79" s="3"/>
      <c r="O79" s="4" t="str">
        <f t="shared" ca="1" si="2"/>
      </c>
      <c r="P79" s="3"/>
    </row>
    <row r="80" spans="1:16" ht="26.1" customHeight="1">
      <c r="A80" s="18"/>
      <c r="B80" s="18"/>
      <c r="C80" s="18"/>
      <c r="D80" s="18"/>
      <c r="E80" s="3"/>
      <c r="F80" s="3"/>
      <c r="G80" s="3"/>
      <c r="H80" s="3"/>
      <c r="I80" s="3"/>
      <c r="J80" s="3"/>
      <c r="K80" s="5"/>
      <c r="L80" s="5"/>
      <c r="M80" s="3"/>
      <c r="N80" s="3"/>
      <c r="O80" s="4" t="str">
        <f t="shared" ca="1" si="2"/>
      </c>
      <c r="P80" s="3"/>
    </row>
    <row r="81" spans="1:16" ht="26.1" customHeight="1">
      <c r="A81" s="18"/>
      <c r="B81" s="18"/>
      <c r="C81" s="18"/>
      <c r="D81" s="18"/>
      <c r="E81" s="3"/>
      <c r="F81" s="3"/>
      <c r="G81" s="3"/>
      <c r="H81" s="3"/>
      <c r="I81" s="3"/>
      <c r="J81" s="3"/>
      <c r="K81" s="5"/>
      <c r="L81" s="5"/>
      <c r="M81" s="3"/>
      <c r="N81" s="3"/>
      <c r="O81" s="4" t="str">
        <f t="shared" ca="1" si="2"/>
      </c>
      <c r="P81" s="3"/>
    </row>
    <row r="82" spans="1:16" ht="26.1" customHeight="1">
      <c r="A82" s="18"/>
      <c r="B82" s="18"/>
      <c r="C82" s="18"/>
      <c r="D82" s="18"/>
      <c r="E82" s="3"/>
      <c r="F82" s="3"/>
      <c r="G82" s="3"/>
      <c r="H82" s="3"/>
      <c r="I82" s="3"/>
      <c r="J82" s="3"/>
      <c r="K82" s="5"/>
      <c r="L82" s="5"/>
      <c r="M82" s="3"/>
      <c r="N82" s="3"/>
      <c r="O82" s="4" t="str">
        <f t="shared" ca="1" si="2"/>
      </c>
      <c r="P82" s="3"/>
    </row>
    <row r="83" spans="1:16" ht="26.1" customHeight="1">
      <c r="A83" s="18"/>
      <c r="B83" s="18"/>
      <c r="C83" s="18"/>
      <c r="D83" s="18"/>
      <c r="E83" s="3"/>
      <c r="F83" s="3"/>
      <c r="G83" s="3"/>
      <c r="H83" s="3"/>
      <c r="I83" s="3"/>
      <c r="J83" s="3"/>
      <c r="K83" s="5"/>
      <c r="L83" s="5"/>
      <c r="M83" s="3"/>
      <c r="N83" s="3"/>
      <c r="O83" s="4" t="str">
        <f t="shared" ca="1" si="2"/>
      </c>
      <c r="P83" s="3"/>
    </row>
    <row r="84" spans="1:16" ht="26.1" customHeight="1">
      <c r="A84" s="18"/>
      <c r="B84" s="18"/>
      <c r="C84" s="18"/>
      <c r="D84" s="18"/>
      <c r="E84" s="3"/>
      <c r="F84" s="3"/>
      <c r="G84" s="3"/>
      <c r="H84" s="3"/>
      <c r="I84" s="3"/>
      <c r="J84" s="3"/>
      <c r="K84" s="5"/>
      <c r="L84" s="5"/>
      <c r="M84" s="3"/>
      <c r="N84" s="3"/>
      <c r="O84" s="4" t="str">
        <f t="shared" ca="1" si="2"/>
      </c>
      <c r="P84" s="3"/>
    </row>
    <row r="85" spans="1:16" ht="26.1" customHeight="1">
      <c r="A85" s="18"/>
      <c r="B85" s="18"/>
      <c r="C85" s="18"/>
      <c r="D85" s="18"/>
      <c r="E85" s="3"/>
      <c r="F85" s="3"/>
      <c r="G85" s="3"/>
      <c r="H85" s="3"/>
      <c r="I85" s="3"/>
      <c r="J85" s="3"/>
      <c r="K85" s="5"/>
      <c r="L85" s="5"/>
      <c r="M85" s="3"/>
      <c r="N85" s="3"/>
      <c r="O85" s="4" t="str">
        <f t="shared" ca="1" si="2"/>
      </c>
      <c r="P85" s="3"/>
    </row>
    <row r="86" spans="1:16" ht="26.1" customHeight="1">
      <c r="A86" s="18"/>
      <c r="B86" s="18"/>
      <c r="C86" s="18"/>
      <c r="D86" s="18"/>
      <c r="E86" s="3"/>
      <c r="F86" s="3"/>
      <c r="G86" s="3"/>
      <c r="H86" s="3"/>
      <c r="I86" s="3"/>
      <c r="J86" s="3"/>
      <c r="K86" s="5"/>
      <c r="L86" s="5"/>
      <c r="M86" s="3"/>
      <c r="N86" s="3"/>
      <c r="O86" s="4" t="str">
        <f t="shared" ca="1" si="2"/>
      </c>
      <c r="P86" s="3"/>
    </row>
    <row r="87" spans="1:16" ht="26.1" customHeight="1">
      <c r="A87" s="18"/>
      <c r="B87" s="18"/>
      <c r="C87" s="18"/>
      <c r="D87" s="18"/>
      <c r="E87" s="3"/>
      <c r="F87" s="3"/>
      <c r="G87" s="3"/>
      <c r="H87" s="3"/>
      <c r="I87" s="3"/>
      <c r="J87" s="3"/>
      <c r="K87" s="5"/>
      <c r="L87" s="5"/>
      <c r="M87" s="3"/>
      <c r="N87" s="3"/>
      <c r="O87" s="4" t="str">
        <f t="shared" ca="1" si="2"/>
      </c>
      <c r="P87" s="3"/>
    </row>
    <row r="88" spans="1:16" ht="26.1" customHeight="1">
      <c r="A88" s="18"/>
      <c r="B88" s="18"/>
      <c r="C88" s="18"/>
      <c r="D88" s="18"/>
      <c r="E88" s="3"/>
      <c r="F88" s="3"/>
      <c r="G88" s="3"/>
      <c r="H88" s="3"/>
      <c r="I88" s="3"/>
      <c r="J88" s="3"/>
      <c r="K88" s="5"/>
      <c r="L88" s="5"/>
      <c r="M88" s="3"/>
      <c r="N88" s="3"/>
      <c r="O88" s="4" t="str">
        <f t="shared" ca="1" si="2"/>
      </c>
      <c r="P88" s="3"/>
    </row>
    <row r="89" spans="1:16" ht="26.1" customHeight="1">
      <c r="A89" s="18"/>
      <c r="B89" s="18"/>
      <c r="C89" s="18"/>
      <c r="D89" s="18"/>
      <c r="E89" s="3"/>
      <c r="F89" s="3"/>
      <c r="G89" s="3"/>
      <c r="H89" s="3"/>
      <c r="I89" s="3"/>
      <c r="J89" s="3"/>
      <c r="K89" s="5"/>
      <c r="L89" s="5"/>
      <c r="M89" s="3"/>
      <c r="N89" s="3"/>
      <c r="O89" s="4" t="str">
        <f t="shared" ca="1" si="2"/>
      </c>
      <c r="P89" s="3"/>
    </row>
    <row r="90" spans="1:16" ht="26.1" customHeight="1">
      <c r="A90" s="18"/>
      <c r="B90" s="18"/>
      <c r="C90" s="18"/>
      <c r="D90" s="18"/>
      <c r="E90" s="3"/>
      <c r="F90" s="3"/>
      <c r="G90" s="3"/>
      <c r="H90" s="3"/>
      <c r="I90" s="3"/>
      <c r="J90" s="3"/>
      <c r="K90" s="5"/>
      <c r="L90" s="5"/>
      <c r="M90" s="3"/>
      <c r="N90" s="3"/>
      <c r="O90" s="4" t="str">
        <f t="shared" ca="1" si="2"/>
      </c>
      <c r="P90" s="3"/>
    </row>
    <row r="91" spans="1:16" ht="26.1" customHeight="1">
      <c r="A91" s="18"/>
      <c r="B91" s="18"/>
      <c r="C91" s="18"/>
      <c r="D91" s="18"/>
      <c r="E91" s="3"/>
      <c r="F91" s="3"/>
      <c r="G91" s="3"/>
      <c r="H91" s="3"/>
      <c r="I91" s="3"/>
      <c r="J91" s="3"/>
      <c r="K91" s="5"/>
      <c r="L91" s="5"/>
      <c r="M91" s="3"/>
      <c r="N91" s="3"/>
      <c r="O91" s="4" t="str">
        <f t="shared" ca="1" si="2"/>
      </c>
      <c r="P91" s="3"/>
    </row>
    <row r="92" spans="1:16" ht="26.1" customHeight="1">
      <c r="A92" s="18"/>
      <c r="B92" s="18"/>
      <c r="C92" s="18"/>
      <c r="D92" s="18"/>
      <c r="E92" s="3"/>
      <c r="F92" s="3"/>
      <c r="G92" s="3"/>
      <c r="H92" s="3"/>
      <c r="I92" s="3"/>
      <c r="J92" s="3"/>
      <c r="K92" s="5"/>
      <c r="L92" s="5"/>
      <c r="M92" s="3"/>
      <c r="N92" s="3"/>
      <c r="O92" s="4" t="str">
        <f t="shared" ca="1" si="2"/>
      </c>
      <c r="P92" s="3"/>
    </row>
    <row r="93" spans="1:16" ht="26.1" customHeight="1">
      <c r="A93" s="18"/>
      <c r="B93" s="18"/>
      <c r="C93" s="18"/>
      <c r="D93" s="18"/>
      <c r="E93" s="3"/>
      <c r="F93" s="3"/>
      <c r="G93" s="3"/>
      <c r="H93" s="3"/>
      <c r="I93" s="3"/>
      <c r="J93" s="3"/>
      <c r="K93" s="5"/>
      <c r="L93" s="5"/>
      <c r="M93" s="3"/>
      <c r="N93" s="3"/>
      <c r="O93" s="4" t="str">
        <f t="shared" ca="1" si="2"/>
      </c>
      <c r="P93" s="3"/>
    </row>
    <row r="94" spans="1:16" ht="26.1" customHeight="1">
      <c r="A94" s="18"/>
      <c r="B94" s="18"/>
      <c r="C94" s="18"/>
      <c r="D94" s="18"/>
      <c r="E94" s="3"/>
      <c r="F94" s="3"/>
      <c r="G94" s="3"/>
      <c r="H94" s="3"/>
      <c r="I94" s="3"/>
      <c r="J94" s="3"/>
      <c r="K94" s="5"/>
      <c r="L94" s="5"/>
      <c r="M94" s="3"/>
      <c r="N94" s="3"/>
      <c r="O94" s="4" t="str">
        <f t="shared" ca="1" si="2"/>
      </c>
      <c r="P94" s="3"/>
    </row>
    <row r="95" spans="1:16" ht="26.1" customHeight="1">
      <c r="A95" s="18"/>
      <c r="B95" s="18"/>
      <c r="C95" s="18"/>
      <c r="D95" s="18"/>
      <c r="E95" s="3"/>
      <c r="F95" s="3"/>
      <c r="G95" s="3"/>
      <c r="H95" s="3"/>
      <c r="I95" s="3"/>
      <c r="J95" s="3"/>
      <c r="K95" s="5"/>
      <c r="L95" s="5"/>
      <c r="M95" s="3"/>
      <c r="N95" s="3"/>
      <c r="O95" s="4" t="str">
        <f t="shared" ca="1" si="2"/>
      </c>
      <c r="P95" s="3"/>
    </row>
    <row r="96" spans="1:16" ht="26.1" customHeight="1">
      <c r="A96" s="18"/>
      <c r="B96" s="18"/>
      <c r="C96" s="18"/>
      <c r="D96" s="18"/>
      <c r="E96" s="3"/>
      <c r="F96" s="3"/>
      <c r="G96" s="3"/>
      <c r="H96" s="3"/>
      <c r="I96" s="3"/>
      <c r="J96" s="3"/>
      <c r="K96" s="5"/>
      <c r="L96" s="5"/>
      <c r="M96" s="3"/>
      <c r="N96" s="3"/>
      <c r="O96" s="4" t="str">
        <f t="shared" ca="1" si="2"/>
      </c>
      <c r="P96" s="3"/>
    </row>
    <row r="97" spans="1:16" ht="26.1" customHeight="1">
      <c r="A97" s="18"/>
      <c r="B97" s="18"/>
      <c r="C97" s="18"/>
      <c r="D97" s="18"/>
      <c r="E97" s="3"/>
      <c r="F97" s="3"/>
      <c r="G97" s="3"/>
      <c r="H97" s="3"/>
      <c r="I97" s="3"/>
      <c r="J97" s="3"/>
      <c r="K97" s="5"/>
      <c r="L97" s="5"/>
      <c r="M97" s="3"/>
      <c r="N97" s="3"/>
      <c r="O97" s="4" t="str">
        <f t="shared" ca="1" si="2"/>
      </c>
      <c r="P97" s="3"/>
    </row>
    <row r="98" spans="1:16" ht="26.1" customHeight="1">
      <c r="A98" s="18"/>
      <c r="B98" s="18"/>
      <c r="C98" s="18"/>
      <c r="D98" s="18"/>
      <c r="E98" s="3"/>
      <c r="F98" s="3"/>
      <c r="G98" s="3"/>
      <c r="H98" s="3"/>
      <c r="I98" s="3"/>
      <c r="J98" s="3"/>
      <c r="K98" s="5"/>
      <c r="L98" s="5"/>
      <c r="M98" s="3"/>
      <c r="N98" s="3"/>
      <c r="O98" s="4" t="str">
        <f t="shared" ca="1" si="2"/>
      </c>
      <c r="P98" s="3"/>
    </row>
    <row r="99" spans="1:16" ht="26.1" customHeight="1">
      <c r="A99" s="18"/>
      <c r="B99" s="18"/>
      <c r="C99" s="18"/>
      <c r="D99" s="18"/>
      <c r="E99" s="3"/>
      <c r="F99" s="3"/>
      <c r="G99" s="3"/>
      <c r="H99" s="3"/>
      <c r="I99" s="3"/>
      <c r="J99" s="3"/>
      <c r="K99" s="5"/>
      <c r="L99" s="5"/>
      <c r="M99" s="3"/>
      <c r="N99" s="3"/>
      <c r="O99" s="4" t="str">
        <f t="shared" ca="1" si="2"/>
      </c>
      <c r="P99" s="3"/>
    </row>
    <row r="100" spans="1:16" ht="26.1" customHeight="1">
      <c r="A100" s="18"/>
      <c r="B100" s="18"/>
      <c r="C100" s="18"/>
      <c r="D100" s="18"/>
      <c r="E100" s="3"/>
      <c r="F100" s="3"/>
      <c r="G100" s="3"/>
      <c r="H100" s="3"/>
      <c r="I100" s="3"/>
      <c r="J100" s="3"/>
      <c r="K100" s="5"/>
      <c r="L100" s="5"/>
      <c r="M100" s="3"/>
      <c r="N100" s="3"/>
      <c r="O100" s="4" t="str">
        <f t="shared" ca="1" si="2"/>
      </c>
      <c r="P100" s="3"/>
    </row>
    <row r="101" spans="1:16" ht="26.1" customHeight="1">
      <c r="A101" s="18"/>
      <c r="B101" s="18"/>
      <c r="C101" s="18"/>
      <c r="D101" s="18"/>
      <c r="E101" s="3"/>
      <c r="F101" s="3"/>
      <c r="G101" s="3"/>
      <c r="H101" s="3"/>
      <c r="I101" s="3"/>
      <c r="J101" s="3"/>
      <c r="K101" s="5"/>
      <c r="L101" s="5"/>
      <c r="M101" s="3"/>
      <c r="N101" s="3"/>
      <c r="O101" s="4" t="str">
        <f t="shared" ca="1" si="2"/>
      </c>
      <c r="P101" s="3"/>
    </row>
    <row r="102" spans="1:16" ht="26.1" customHeight="1">
      <c r="A102" s="18"/>
      <c r="B102" s="18"/>
      <c r="C102" s="18"/>
      <c r="D102" s="18"/>
      <c r="E102" s="3"/>
      <c r="F102" s="3"/>
      <c r="G102" s="3"/>
      <c r="H102" s="3"/>
      <c r="I102" s="3"/>
      <c r="J102" s="3"/>
      <c r="K102" s="5"/>
      <c r="L102" s="5"/>
      <c r="M102" s="3"/>
      <c r="N102" s="3"/>
      <c r="O102" s="4" t="str">
        <f t="shared" ca="1" si="2"/>
      </c>
      <c r="P102" s="3"/>
    </row>
    <row r="103" spans="1:16" ht="26.1" customHeight="1">
      <c r="A103" s="18"/>
      <c r="B103" s="18"/>
      <c r="C103" s="18"/>
      <c r="D103" s="18"/>
      <c r="E103" s="3"/>
      <c r="F103" s="3"/>
      <c r="G103" s="3"/>
      <c r="H103" s="3"/>
      <c r="I103" s="3"/>
      <c r="J103" s="3"/>
      <c r="K103" s="5"/>
      <c r="L103" s="5"/>
      <c r="M103" s="3"/>
      <c r="N103" s="3"/>
      <c r="O103" s="4" t="str">
        <f t="shared" ca="1" si="2"/>
      </c>
      <c r="P103" s="3"/>
    </row>
    <row r="104" spans="1:16" ht="26.1" customHeight="1">
      <c r="A104" s="18"/>
      <c r="B104" s="18"/>
      <c r="C104" s="18"/>
      <c r="D104" s="18"/>
      <c r="E104" s="3"/>
      <c r="F104" s="3"/>
      <c r="G104" s="3"/>
      <c r="H104" s="3"/>
      <c r="I104" s="3"/>
      <c r="J104" s="3"/>
      <c r="K104" s="5"/>
      <c r="L104" s="5"/>
      <c r="M104" s="3"/>
      <c r="N104" s="3"/>
      <c r="O104" s="4" t="str">
        <f t="shared" ca="1" si="2"/>
      </c>
      <c r="P104" s="3"/>
    </row>
    <row r="105" spans="1:16" ht="26.1" customHeight="1">
      <c r="A105" s="18"/>
      <c r="B105" s="18"/>
      <c r="C105" s="18"/>
      <c r="D105" s="18"/>
      <c r="E105" s="3"/>
      <c r="F105" s="3"/>
      <c r="G105" s="3"/>
      <c r="H105" s="3"/>
      <c r="I105" s="3"/>
      <c r="J105" s="3"/>
      <c r="K105" s="5"/>
      <c r="L105" s="5"/>
      <c r="M105" s="3"/>
      <c r="N105" s="3"/>
      <c r="O105" s="4" t="str">
        <f t="shared" ca="1" si="2"/>
      </c>
      <c r="P105" s="3"/>
    </row>
    <row r="106" spans="1:16" ht="26.1" customHeight="1">
      <c r="A106" s="18"/>
      <c r="B106" s="18"/>
      <c r="C106" s="18"/>
      <c r="D106" s="18"/>
      <c r="E106" s="3"/>
      <c r="F106" s="3"/>
      <c r="G106" s="3"/>
      <c r="H106" s="3"/>
      <c r="I106" s="3"/>
      <c r="J106" s="3"/>
      <c r="K106" s="5"/>
      <c r="L106" s="5"/>
      <c r="M106" s="3"/>
      <c r="N106" s="3"/>
      <c r="O106" s="4" t="str">
        <f t="shared" ca="1" si="2"/>
      </c>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conditionalFormatting sqref="E7:E106">
    <cfRule type="expression" dxfId="3" priority="2">
      <formula>AND(E7&lt;&gt;"",COUNTIFS($E$7:$E$106,E7)&gt;1)</formula>
    </cfRule>
  </conditionalFormatting>
  <conditionalFormatting sqref="N7:N106">
    <cfRule type="cellIs" dxfId="2" priority="3" operator="equal">
      <formula>"Pending validation"</formula>
    </cfRule>
    <cfRule type="cellIs" dxfId="1" priority="4" operator="equal">
      <formula>"Validated"</formula>
    </cfRule>
    <cfRule type="cellIs" dxfId="0" priority="5" operator="equal">
      <formula>"Rejected"</formula>
    </cfRule>
  </conditionalFormatting>
  <conditionalFormatting sqref="O7:O106">
    <cfRule type="colorScale" priority="1">
      <colorScale>
        <cfvo type="min"/>
        <cfvo type="max"/>
        <color rgb="FFFFFFFF"/>
        <color rgb="FFFECACA"/>
      </colorScale>
    </cfRule>
  </conditionalFormatting>
  <dataValidations count="4">
    <dataValidation type="list" allowBlank="1" showErrorMessage="1" errorTitle="Select an allowed option" error="Choose a dropdown value or leave an unknown input blank." sqref="I7:I106" xr:uid="{00000000-0002-0000-0400-000000000000}">
      <formula1>"Pending approval,Approved,Rejected"</formula1>
    </dataValidation>
    <dataValidation type="list" allowBlank="1" showErrorMessage="1" errorTitle="Select an allowed option" error="Choose a dropdown value or leave an unknown input blank." sqref="J7:J106" xr:uid="{00000000-0002-0000-0400-000001000000}">
      <formula1>"Proposed,Open,In progress,Blocked,Completed"</formula1>
    </dataValidation>
    <dataValidation type="list" allowBlank="1" showErrorMessage="1" errorTitle="Select an allowed option" error="Choose a dropdown value or leave an unknown input blank." sqref="N7:N106" xr:uid="{00000000-0002-0000-0400-000002000000}">
      <formula1>"Pending validation,Validated,Rejected"</formula1>
    </dataValidation>
    <dataValidation type="list" allowBlank="1" showErrorMessage="1" errorTitle="Select an allowed option" error="Choose a dropdown value or leave an unknown input blank." sqref="F7:F106" xr:uid="{00000000-0002-0000-0400-000003000000}">
      <formula1>RiskIDs</formula1>
    </dataValidation>
  </dataValidation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2F47"/>
  </sheetPr>
  <dimension ref="A1:P110"/>
  <sheetViews>
    <sheetView showGridLines="0" showRowColHeaders="0" zoomScale="75" workbookViewId="0">
      <pane xSplit="4" topLeftCell="E1" activePane="topRight" state="frozen"/>
      <selection pane="topRight"/>
    </sheetView>
  </sheetViews>
  <sheetFormatPr defaultRowHeight="14.25"/>
  <cols>
    <col min="1" max="4" width="7.25" customWidth="1"/>
    <col min="5" max="5" width="13" customWidth="1"/>
    <col min="6" max="8" width="29" customWidth="1"/>
    <col min="9" max="16" width="13" customWidth="1"/>
  </cols>
  <sheetData>
    <row r="1" spans="1:16" ht="28.5" customHeight="1">
      <c r="A1" s="18"/>
      <c r="B1" s="18"/>
      <c r="C1" s="18"/>
      <c r="D1" s="18"/>
      <c r="E1" s="16"/>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7"/>
      <c r="F3" s="17"/>
      <c r="G3" s="17"/>
      <c r="H3" s="17"/>
      <c r="I3" s="17"/>
      <c r="J3" s="17"/>
      <c r="K3" s="17"/>
      <c r="L3" s="17"/>
      <c r="M3" s="17"/>
      <c r="N3" s="17"/>
      <c r="O3" s="17"/>
      <c r="P3" s="17"/>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19" t="s">
        <v>146</v>
      </c>
      <c r="F5" s="19"/>
      <c r="G5" s="19"/>
      <c r="H5" s="19"/>
      <c r="I5" s="19"/>
      <c r="J5" s="19"/>
      <c r="K5" s="19"/>
      <c r="L5" s="19"/>
      <c r="M5" s="19"/>
      <c r="N5" s="19"/>
      <c r="O5" s="19"/>
      <c r="P5" s="19"/>
    </row>
    <row r="6" spans="1:16" ht="26.1" customHeight="1">
      <c r="A6" s="18"/>
      <c r="B6" s="18"/>
      <c r="C6" s="18"/>
      <c r="D6" s="18"/>
      <c r="E6" s="38" t="s">
        <v>147</v>
      </c>
      <c r="F6" s="38"/>
      <c r="G6" s="38"/>
      <c r="H6" s="38"/>
      <c r="I6" s="38"/>
      <c r="J6" s="38"/>
      <c r="K6" s="38"/>
      <c r="L6" s="38"/>
      <c r="M6" s="38"/>
      <c r="N6" s="38"/>
      <c r="O6" s="38"/>
      <c r="P6" s="38"/>
    </row>
    <row r="7" spans="1:16" ht="26.1" customHeight="1">
      <c r="A7" s="18"/>
      <c r="B7" s="18"/>
      <c r="C7" s="18"/>
      <c r="D7" s="18"/>
      <c r="E7" s="38"/>
      <c r="F7" s="38"/>
      <c r="G7" s="38"/>
      <c r="H7" s="38"/>
      <c r="I7" s="38"/>
      <c r="J7" s="38"/>
      <c r="K7" s="38"/>
      <c r="L7" s="38"/>
      <c r="M7" s="38"/>
      <c r="N7" s="38"/>
      <c r="O7" s="38"/>
      <c r="P7" s="38"/>
    </row>
    <row r="8" spans="1:16" ht="26.1" customHeight="1">
      <c r="A8" s="18"/>
      <c r="B8" s="18"/>
      <c r="C8" s="18"/>
      <c r="D8" s="18"/>
      <c r="E8" s="7" t="s">
        <v>76</v>
      </c>
      <c r="F8" s="7" t="s">
        <v>77</v>
      </c>
      <c r="G8" s="7" t="s">
        <v>78</v>
      </c>
      <c r="H8" s="7" t="s">
        <v>79</v>
      </c>
      <c r="I8" s="1"/>
      <c r="J8" s="1"/>
      <c r="K8" s="1"/>
      <c r="L8" s="1"/>
      <c r="M8" s="1"/>
      <c r="N8" s="1"/>
      <c r="O8" s="1"/>
      <c r="P8" s="1"/>
    </row>
    <row r="9" spans="1:16" ht="38.1" customHeight="1">
      <c r="A9" s="18"/>
      <c r="B9" s="18"/>
      <c r="C9" s="18"/>
      <c r="D9" s="18"/>
      <c r="E9" s="8">
        <v>1</v>
      </c>
      <c r="F9" s="8" t="s">
        <v>80</v>
      </c>
      <c r="G9" s="8" t="s">
        <v>81</v>
      </c>
      <c r="H9" s="8" t="s">
        <v>82</v>
      </c>
      <c r="I9" s="1"/>
      <c r="J9" s="1"/>
      <c r="K9" s="1"/>
      <c r="L9" s="1"/>
      <c r="M9" s="1"/>
      <c r="N9" s="1"/>
      <c r="O9" s="1"/>
      <c r="P9" s="1"/>
    </row>
    <row r="10" spans="1:16" ht="38.1" customHeight="1">
      <c r="A10" s="18"/>
      <c r="B10" s="18"/>
      <c r="C10" s="18"/>
      <c r="D10" s="18"/>
      <c r="E10" s="8">
        <v>2</v>
      </c>
      <c r="F10" s="8" t="s">
        <v>83</v>
      </c>
      <c r="G10" s="8" t="s">
        <v>84</v>
      </c>
      <c r="H10" s="8" t="s">
        <v>85</v>
      </c>
      <c r="I10" s="1"/>
      <c r="J10" s="1"/>
      <c r="K10" s="1"/>
      <c r="L10" s="1"/>
      <c r="M10" s="1"/>
      <c r="N10" s="1"/>
      <c r="O10" s="1"/>
      <c r="P10" s="1"/>
    </row>
    <row r="11" spans="1:16" ht="38.1" customHeight="1">
      <c r="A11" s="18"/>
      <c r="B11" s="18"/>
      <c r="C11" s="18"/>
      <c r="D11" s="18"/>
      <c r="E11" s="8">
        <v>3</v>
      </c>
      <c r="F11" s="8" t="s">
        <v>86</v>
      </c>
      <c r="G11" s="8" t="s">
        <v>87</v>
      </c>
      <c r="H11" s="8" t="s">
        <v>88</v>
      </c>
      <c r="I11" s="1"/>
      <c r="J11" s="1"/>
      <c r="K11" s="1"/>
      <c r="L11" s="1"/>
      <c r="M11" s="1"/>
      <c r="N11" s="1"/>
      <c r="O11" s="1"/>
      <c r="P11" s="1"/>
    </row>
    <row r="12" spans="1:16" ht="38.1" customHeight="1">
      <c r="A12" s="18"/>
      <c r="B12" s="18"/>
      <c r="C12" s="18"/>
      <c r="D12" s="18"/>
      <c r="E12" s="8">
        <v>4</v>
      </c>
      <c r="F12" s="8" t="s">
        <v>89</v>
      </c>
      <c r="G12" s="8" t="s">
        <v>90</v>
      </c>
      <c r="H12" s="8" t="s">
        <v>91</v>
      </c>
      <c r="I12" s="1"/>
      <c r="J12" s="1"/>
      <c r="K12" s="1"/>
      <c r="L12" s="1"/>
      <c r="M12" s="1"/>
      <c r="N12" s="1"/>
      <c r="O12" s="1"/>
      <c r="P12" s="1"/>
    </row>
    <row r="13" spans="1:16" ht="38.1" customHeight="1">
      <c r="A13" s="18"/>
      <c r="B13" s="18"/>
      <c r="C13" s="18"/>
      <c r="D13" s="18"/>
      <c r="E13" s="8">
        <v>5</v>
      </c>
      <c r="F13" s="8" t="s">
        <v>92</v>
      </c>
      <c r="G13" s="8" t="s">
        <v>93</v>
      </c>
      <c r="H13" s="8" t="s">
        <v>94</v>
      </c>
      <c r="I13" s="1"/>
      <c r="J13" s="1"/>
      <c r="K13" s="1"/>
      <c r="L13" s="1"/>
      <c r="M13" s="1"/>
      <c r="N13" s="1"/>
      <c r="O13" s="1"/>
      <c r="P13" s="1"/>
    </row>
    <row r="14" spans="1:16" ht="26.1" customHeight="1">
      <c r="A14" s="18"/>
      <c r="B14" s="18"/>
      <c r="C14" s="18"/>
      <c r="D14" s="18"/>
      <c r="E14" s="1"/>
      <c r="F14" s="1"/>
      <c r="G14" s="1"/>
      <c r="H14" s="1"/>
      <c r="I14" s="1"/>
      <c r="J14" s="1"/>
      <c r="K14" s="1"/>
      <c r="L14" s="1"/>
      <c r="M14" s="1"/>
      <c r="N14" s="1"/>
      <c r="O14" s="1"/>
      <c r="P14" s="1"/>
    </row>
    <row r="15" spans="1:16" ht="26.1" customHeight="1">
      <c r="A15" s="18"/>
      <c r="B15" s="18"/>
      <c r="C15" s="18"/>
      <c r="D15" s="18"/>
      <c r="E15" s="6" t="s">
        <v>95</v>
      </c>
      <c r="F15" s="6" t="s">
        <v>96</v>
      </c>
      <c r="G15" s="6" t="s">
        <v>97</v>
      </c>
      <c r="H15" s="1"/>
      <c r="I15" s="1"/>
      <c r="J15" s="1"/>
      <c r="K15" s="1"/>
      <c r="L15" s="1"/>
      <c r="M15" s="1"/>
      <c r="N15" s="1"/>
      <c r="O15" s="1"/>
      <c r="P15" s="1"/>
    </row>
    <row r="16" spans="1:16" ht="26.1" customHeight="1">
      <c r="A16" s="18"/>
      <c r="B16" s="18"/>
      <c r="C16" s="18"/>
      <c r="D16" s="18"/>
      <c r="E16" s="1" t="s">
        <v>87</v>
      </c>
      <c r="F16" s="1">
        <v>5</v>
      </c>
      <c r="G16" s="1" t="n">
        <v>11</v>
      </c>
      <c r="H16" s="1"/>
      <c r="I16" s="1"/>
      <c r="J16" s="1"/>
      <c r="K16" s="1"/>
      <c r="L16" s="1"/>
      <c r="M16" s="1"/>
      <c r="N16" s="1"/>
      <c r="O16" s="1"/>
      <c r="P16" s="1"/>
    </row>
    <row r="17" spans="1:16" ht="26.1" customHeight="1">
      <c r="A17" s="18"/>
      <c r="B17" s="18"/>
      <c r="C17" s="18"/>
      <c r="D17" s="18"/>
      <c r="E17" s="1" t="s">
        <v>98</v>
      </c>
      <c r="F17" s="1" t="n">
        <v>12</v>
      </c>
      <c r="G17" s="1" t="n">
        <v>19</v>
      </c>
      <c r="H17" s="1"/>
      <c r="I17" s="1"/>
      <c r="J17" s="1"/>
      <c r="K17" s="1"/>
      <c r="L17" s="1"/>
      <c r="M17" s="1"/>
      <c r="N17" s="1"/>
      <c r="O17" s="1"/>
      <c r="P17" s="1"/>
    </row>
    <row r="18" spans="1:16" ht="26.1" customHeight="1">
      <c r="A18" s="18"/>
      <c r="B18" s="18"/>
      <c r="C18" s="18"/>
      <c r="D18" s="18"/>
      <c r="E18" s="1" t="s">
        <v>99</v>
      </c>
      <c r="F18" s="1" t="n">
        <v>20</v>
      </c>
      <c r="G18" s="1">
        <v>25</v>
      </c>
      <c r="H18" s="1"/>
      <c r="I18" s="1"/>
      <c r="J18" s="1"/>
      <c r="K18" s="1"/>
      <c r="L18" s="1"/>
      <c r="M18" s="1"/>
      <c r="N18" s="1"/>
      <c r="O18" s="1"/>
      <c r="P18" s="1"/>
    </row>
    <row r="19" spans="1:16" ht="26.1" customHeight="1">
      <c r="A19" s="18"/>
      <c r="B19" s="18"/>
      <c r="C19" s="18"/>
      <c r="D19" s="18"/>
      <c r="E19" s="1" t="s">
        <v>100</v>
      </c>
      <c r="F19" s="1">
        <v>1</v>
      </c>
      <c r="G19" s="1">
        <v>4</v>
      </c>
      <c r="H19" s="1"/>
      <c r="I19" s="1"/>
      <c r="J19" s="1"/>
      <c r="K19" s="1"/>
      <c r="L19" s="1"/>
      <c r="M19" s="1"/>
      <c r="N19" s="1"/>
      <c r="O19" s="1"/>
      <c r="P19" s="1"/>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1"/>
      <c r="F21" s="1"/>
      <c r="G21" s="1"/>
      <c r="H21" s="1"/>
      <c r="I21" s="1"/>
      <c r="J21" s="1"/>
      <c r="K21" s="1"/>
      <c r="L21" s="1"/>
      <c r="M21" s="1"/>
      <c r="N21" s="1"/>
      <c r="O21" s="1"/>
      <c r="P21" s="1"/>
    </row>
    <row r="22" spans="1:16" ht="26.1" customHeight="1">
      <c r="A22" s="18"/>
      <c r="B22" s="18"/>
      <c r="C22" s="18"/>
      <c r="D22" s="18"/>
      <c r="E22" s="37" t="str">
        <v>Scoring decision | October 14, 2026: Restored user-defined bands: Low 1–4, Moderate 5–11, High 12–19, Critical 20–25. Supersedes High 10–16 / Critical 17–25. Moderate covers 10–11 so the scale has no gaps. R-001: 3 × 4 = 12 High remains simulated and pending validation.</v>
      </c>
      <c r="F22" s="37"/>
      <c r="G22" s="37"/>
      <c r="H22" s="37"/>
      <c r="I22" s="37"/>
      <c r="J22" s="37"/>
      <c r="K22" s="37"/>
      <c r="L22" s="37"/>
      <c r="M22" s="37"/>
      <c r="N22" s="37"/>
      <c r="O22" s="37"/>
      <c r="P22" s="37"/>
    </row>
    <row r="23" spans="1:16" ht="26.1" customHeight="1">
      <c r="A23" s="18"/>
      <c r="B23" s="18"/>
      <c r="C23" s="18"/>
      <c r="D23" s="18"/>
      <c r="E23" s="37"/>
      <c r="F23" s="37"/>
      <c r="G23" s="37"/>
      <c r="H23" s="37"/>
      <c r="I23" s="37"/>
      <c r="J23" s="37"/>
      <c r="K23" s="37"/>
      <c r="L23" s="37"/>
      <c r="M23" s="37"/>
      <c r="N23" s="37"/>
      <c r="O23" s="37"/>
      <c r="P23" s="37"/>
    </row>
    <row r="24" spans="1:16" ht="26.1" customHeight="1">
      <c r="A24" s="18"/>
      <c r="B24" s="18"/>
      <c r="C24" s="18"/>
      <c r="D24" s="18"/>
      <c r="E24" s="37"/>
      <c r="F24" s="37"/>
      <c r="G24" s="37"/>
      <c r="H24" s="37"/>
      <c r="I24" s="37"/>
      <c r="J24" s="37"/>
      <c r="K24" s="37"/>
      <c r="L24" s="37"/>
      <c r="M24" s="37"/>
      <c r="N24" s="37"/>
      <c r="O24" s="37"/>
      <c r="P24" s="37"/>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37" t="s">
        <v>102</v>
      </c>
      <c r="F26" s="37"/>
      <c r="G26" s="37"/>
      <c r="H26" s="37"/>
      <c r="I26" s="37"/>
      <c r="J26" s="37"/>
      <c r="K26" s="37"/>
      <c r="L26" s="37"/>
      <c r="M26" s="37"/>
      <c r="N26" s="37"/>
      <c r="O26" s="37"/>
      <c r="P26" s="37"/>
    </row>
    <row r="27" spans="1:16" ht="26.1" customHeight="1">
      <c r="A27" s="18"/>
      <c r="B27" s="18"/>
      <c r="C27" s="18"/>
      <c r="D27" s="18"/>
      <c r="E27" s="37"/>
      <c r="F27" s="37"/>
      <c r="G27" s="37"/>
      <c r="H27" s="37"/>
      <c r="I27" s="37"/>
      <c r="J27" s="37"/>
      <c r="K27" s="37"/>
      <c r="L27" s="37"/>
      <c r="M27" s="37"/>
      <c r="N27" s="37"/>
      <c r="O27" s="37"/>
      <c r="P27" s="37"/>
    </row>
    <row r="28" spans="1:16" ht="26.1" customHeight="1">
      <c r="A28" s="18"/>
      <c r="B28" s="18"/>
      <c r="C28" s="18"/>
      <c r="D28" s="18"/>
      <c r="E28" s="37"/>
      <c r="F28" s="37"/>
      <c r="G28" s="37"/>
      <c r="H28" s="37"/>
      <c r="I28" s="37"/>
      <c r="J28" s="37"/>
      <c r="K28" s="37"/>
      <c r="L28" s="37"/>
      <c r="M28" s="37"/>
      <c r="N28" s="37"/>
      <c r="O28" s="37"/>
      <c r="P28" s="37"/>
    </row>
    <row r="29" spans="1:16" ht="26.1" customHeight="1">
      <c r="A29" s="18"/>
      <c r="B29" s="18"/>
      <c r="C29" s="18"/>
      <c r="D29" s="18"/>
      <c r="E29" s="37"/>
      <c r="F29" s="37"/>
      <c r="G29" s="37"/>
      <c r="H29" s="37"/>
      <c r="I29" s="37"/>
      <c r="J29" s="37"/>
      <c r="K29" s="37"/>
      <c r="L29" s="37"/>
      <c r="M29" s="37"/>
      <c r="N29" s="37"/>
      <c r="O29" s="37"/>
      <c r="P29" s="37"/>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37" t="s">
        <v>103</v>
      </c>
      <c r="F31" s="37"/>
      <c r="G31" s="37"/>
      <c r="H31" s="37"/>
      <c r="I31" s="37"/>
      <c r="J31" s="37"/>
      <c r="K31" s="37"/>
      <c r="L31" s="37"/>
      <c r="M31" s="37"/>
      <c r="N31" s="37"/>
      <c r="O31" s="37"/>
      <c r="P31" s="37"/>
    </row>
    <row r="32" spans="1:16" ht="26.1" customHeight="1">
      <c r="A32" s="18"/>
      <c r="B32" s="18"/>
      <c r="C32" s="18"/>
      <c r="D32" s="18"/>
      <c r="E32" s="37"/>
      <c r="F32" s="37"/>
      <c r="G32" s="37"/>
      <c r="H32" s="37"/>
      <c r="I32" s="37"/>
      <c r="J32" s="37"/>
      <c r="K32" s="37"/>
      <c r="L32" s="37"/>
      <c r="M32" s="37"/>
      <c r="N32" s="37"/>
      <c r="O32" s="37"/>
      <c r="P32" s="37"/>
    </row>
    <row r="33" spans="1:16" ht="26.1" customHeight="1">
      <c r="A33" s="18"/>
      <c r="B33" s="18"/>
      <c r="C33" s="18"/>
      <c r="D33" s="18"/>
      <c r="E33" s="37"/>
      <c r="F33" s="37"/>
      <c r="G33" s="37"/>
      <c r="H33" s="37"/>
      <c r="I33" s="37"/>
      <c r="J33" s="37"/>
      <c r="K33" s="37"/>
      <c r="L33" s="37"/>
      <c r="M33" s="37"/>
      <c r="N33" s="37"/>
      <c r="O33" s="37"/>
      <c r="P33" s="37"/>
    </row>
    <row r="34" spans="1:16" ht="26.1" customHeight="1">
      <c r="A34" s="18"/>
      <c r="B34" s="18"/>
      <c r="C34" s="18"/>
      <c r="D34" s="18"/>
      <c r="E34" s="37"/>
      <c r="F34" s="37"/>
      <c r="G34" s="37"/>
      <c r="H34" s="37"/>
      <c r="I34" s="37"/>
      <c r="J34" s="37"/>
      <c r="K34" s="37"/>
      <c r="L34" s="37"/>
      <c r="M34" s="37"/>
      <c r="N34" s="37"/>
      <c r="O34" s="37"/>
      <c r="P34" s="37"/>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1"/>
      <c r="F36" s="1"/>
      <c r="G36" s="1"/>
      <c r="H36" s="1"/>
      <c r="I36" s="1"/>
      <c r="J36" s="1"/>
      <c r="K36" s="1"/>
      <c r="L36" s="1"/>
      <c r="M36" s="1"/>
      <c r="N36" s="1"/>
      <c r="O36" s="1"/>
      <c r="P36" s="1"/>
    </row>
    <row r="37" spans="1:16" ht="26.1" customHeight="1">
      <c r="A37" s="18"/>
      <c r="B37" s="18"/>
      <c r="C37" s="18"/>
      <c r="D37" s="18"/>
      <c r="E37" s="1"/>
      <c r="F37" s="1"/>
      <c r="G37" s="1"/>
      <c r="H37" s="1"/>
      <c r="I37" s="1"/>
      <c r="J37" s="1"/>
      <c r="K37" s="1"/>
      <c r="L37" s="1"/>
      <c r="M37" s="1"/>
      <c r="N37" s="1"/>
      <c r="O37" s="1"/>
      <c r="P37" s="1"/>
    </row>
    <row r="38" spans="1:16" ht="26.1" customHeight="1">
      <c r="A38" s="18"/>
      <c r="B38" s="18"/>
      <c r="C38" s="18"/>
      <c r="D38" s="18"/>
      <c r="E38" s="1"/>
      <c r="F38" s="1"/>
      <c r="G38" s="1"/>
      <c r="H38" s="1"/>
      <c r="I38" s="1"/>
      <c r="J38" s="1"/>
      <c r="K38" s="1"/>
      <c r="L38" s="1"/>
      <c r="M38" s="1"/>
      <c r="N38" s="1"/>
      <c r="O38" s="1"/>
      <c r="P38" s="1"/>
    </row>
    <row r="39" spans="1:16">
      <c r="A39" s="18"/>
      <c r="B39" s="18"/>
      <c r="C39" s="18"/>
      <c r="D39" s="18"/>
    </row>
    <row r="40" spans="1:16">
      <c r="A40" s="18"/>
      <c r="B40" s="18"/>
      <c r="C40" s="18"/>
      <c r="D40" s="18"/>
    </row>
    <row r="41" spans="1:16">
      <c r="A41" s="18"/>
      <c r="B41" s="18"/>
      <c r="C41" s="18"/>
      <c r="D41" s="18"/>
    </row>
    <row r="42" spans="1:16">
      <c r="A42" s="18"/>
      <c r="B42" s="18"/>
      <c r="C42" s="18"/>
      <c r="D42" s="18"/>
    </row>
    <row r="43" spans="1:16">
      <c r="A43" s="18"/>
      <c r="B43" s="18"/>
      <c r="C43" s="18"/>
      <c r="D43" s="18"/>
    </row>
    <row r="44" spans="1:16">
      <c r="A44" s="18"/>
      <c r="B44" s="18"/>
      <c r="C44" s="18"/>
      <c r="D44" s="18"/>
    </row>
    <row r="45" spans="1:16">
      <c r="A45" s="18"/>
      <c r="B45" s="18"/>
      <c r="C45" s="18"/>
      <c r="D45" s="18"/>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5">
    <mergeCell ref="E22:P24"/>
    <mergeCell ref="E26:P29"/>
    <mergeCell ref="E31:P34"/>
    <mergeCell ref="E5:P5"/>
    <mergeCell ref="E6:P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02F47"/>
  </sheetPr>
  <dimension ref="A1:P110"/>
  <sheetViews>
    <sheetView showGridLines="0" showRowColHeaders="0" zoomScale="75" workbookViewId="0">
      <pane xSplit="4" topLeftCell="E1" activePane="topRight" state="frozen"/>
      <selection pane="topRight"/>
    </sheetView>
  </sheetViews>
  <sheetFormatPr defaultRowHeight="14.25"/>
  <cols>
    <col min="1" max="4" width="7.25" customWidth="1"/>
    <col min="5" max="16" width="13" customWidth="1"/>
  </cols>
  <sheetData>
    <row r="1" spans="1:16" ht="28.5" customHeight="1">
      <c r="A1" s="18"/>
      <c r="B1" s="18"/>
      <c r="C1" s="18"/>
      <c r="D1" s="18"/>
      <c r="E1" s="17"/>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6"/>
      <c r="F3" s="16"/>
      <c r="G3" s="16"/>
      <c r="H3" s="16"/>
      <c r="I3" s="16"/>
      <c r="J3" s="16"/>
      <c r="K3" s="16"/>
      <c r="L3" s="16"/>
      <c r="M3" s="16"/>
      <c r="N3" s="16"/>
      <c r="O3" s="16"/>
      <c r="P3" s="16"/>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19" t="s">
        <v>146</v>
      </c>
      <c r="F5" s="19"/>
      <c r="G5" s="19"/>
      <c r="H5" s="19"/>
      <c r="I5" s="19"/>
      <c r="J5" s="19"/>
      <c r="K5" s="19"/>
      <c r="L5" s="19"/>
      <c r="M5" s="19"/>
      <c r="N5" s="19"/>
      <c r="O5" s="19"/>
      <c r="P5" s="19"/>
    </row>
    <row r="6" spans="1:16" ht="26.1" customHeight="1">
      <c r="A6" s="18"/>
      <c r="B6" s="18"/>
      <c r="C6" s="18"/>
      <c r="D6" s="18"/>
      <c r="E6" s="40" t="s">
        <v>104</v>
      </c>
      <c r="F6" s="40"/>
      <c r="G6" s="40"/>
      <c r="H6" s="40"/>
      <c r="I6" s="40"/>
      <c r="J6" s="40"/>
      <c r="K6" s="40"/>
      <c r="L6" s="40"/>
      <c r="M6" s="40"/>
      <c r="N6" s="40"/>
      <c r="O6" s="40"/>
      <c r="P6" s="40"/>
    </row>
    <row r="7" spans="1:16" ht="26.1" customHeight="1">
      <c r="A7" s="18"/>
      <c r="B7" s="18"/>
      <c r="C7" s="18"/>
      <c r="D7" s="18"/>
      <c r="E7" s="41" t="s">
        <v>105</v>
      </c>
      <c r="F7" s="41"/>
      <c r="G7" s="41"/>
      <c r="H7" s="41"/>
      <c r="I7" s="41"/>
      <c r="J7" s="41"/>
      <c r="K7" s="41"/>
      <c r="L7" s="41"/>
      <c r="M7" s="41"/>
      <c r="N7" s="41"/>
      <c r="O7" s="41"/>
      <c r="P7" s="41"/>
    </row>
    <row r="8" spans="1:16" ht="26.1" customHeight="1">
      <c r="A8" s="18"/>
      <c r="B8" s="18"/>
      <c r="C8" s="18"/>
      <c r="D8" s="18"/>
      <c r="E8" s="41"/>
      <c r="F8" s="41"/>
      <c r="G8" s="41"/>
      <c r="H8" s="41"/>
      <c r="I8" s="41"/>
      <c r="J8" s="41"/>
      <c r="K8" s="41"/>
      <c r="L8" s="41"/>
      <c r="M8" s="41"/>
      <c r="N8" s="41"/>
      <c r="O8" s="41"/>
      <c r="P8" s="41"/>
    </row>
    <row r="9" spans="1:16" ht="26.1" customHeight="1">
      <c r="A9" s="18"/>
      <c r="B9" s="18"/>
      <c r="C9" s="18"/>
      <c r="D9" s="18"/>
      <c r="E9" s="41"/>
      <c r="F9" s="41"/>
      <c r="G9" s="41"/>
      <c r="H9" s="41"/>
      <c r="I9" s="41"/>
      <c r="J9" s="41"/>
      <c r="K9" s="41"/>
      <c r="L9" s="41"/>
      <c r="M9" s="41"/>
      <c r="N9" s="41"/>
      <c r="O9" s="41"/>
      <c r="P9" s="41"/>
    </row>
    <row r="10" spans="1:16" ht="26.1" customHeight="1">
      <c r="A10" s="18"/>
      <c r="B10" s="18"/>
      <c r="C10" s="18"/>
      <c r="D10" s="18"/>
      <c r="E10" s="1"/>
      <c r="F10" s="1"/>
      <c r="G10" s="1"/>
      <c r="H10" s="1"/>
      <c r="I10" s="1"/>
      <c r="J10" s="1"/>
      <c r="K10" s="1"/>
      <c r="L10" s="1"/>
      <c r="M10" s="1"/>
      <c r="N10" s="1"/>
      <c r="O10" s="1"/>
      <c r="P10" s="1"/>
    </row>
    <row r="11" spans="1:16" ht="26.1" customHeight="1">
      <c r="A11" s="18"/>
      <c r="B11" s="18"/>
      <c r="C11" s="18"/>
      <c r="D11" s="18"/>
      <c r="E11" s="40" t="s">
        <v>106</v>
      </c>
      <c r="F11" s="40"/>
      <c r="G11" s="40"/>
      <c r="H11" s="40"/>
      <c r="I11" s="40"/>
      <c r="J11" s="40"/>
      <c r="K11" s="40"/>
      <c r="L11" s="40"/>
      <c r="M11" s="40"/>
      <c r="N11" s="40"/>
      <c r="O11" s="40"/>
      <c r="P11" s="40"/>
    </row>
    <row r="12" spans="1:16" ht="26.1" customHeight="1">
      <c r="A12" s="18"/>
      <c r="B12" s="18"/>
      <c r="C12" s="18"/>
      <c r="D12" s="18"/>
      <c r="E12" s="39" t="s">
        <v>107</v>
      </c>
      <c r="F12" s="39"/>
      <c r="G12" s="39"/>
      <c r="H12" s="39"/>
      <c r="I12" s="39"/>
      <c r="J12" s="39"/>
      <c r="K12" s="39"/>
      <c r="L12" s="39"/>
      <c r="M12" s="39"/>
      <c r="N12" s="39"/>
      <c r="O12" s="39"/>
      <c r="P12" s="39"/>
    </row>
    <row r="13" spans="1:16" ht="26.1" customHeight="1">
      <c r="A13" s="18"/>
      <c r="B13" s="18"/>
      <c r="C13" s="18"/>
      <c r="D13" s="18"/>
      <c r="E13" s="39"/>
      <c r="F13" s="39"/>
      <c r="G13" s="39"/>
      <c r="H13" s="39"/>
      <c r="I13" s="39"/>
      <c r="J13" s="39"/>
      <c r="K13" s="39"/>
      <c r="L13" s="39"/>
      <c r="M13" s="39"/>
      <c r="N13" s="39"/>
      <c r="O13" s="39"/>
      <c r="P13" s="39"/>
    </row>
    <row r="14" spans="1:16" ht="26.1" customHeight="1">
      <c r="A14" s="18"/>
      <c r="B14" s="18"/>
      <c r="C14" s="18"/>
      <c r="D14" s="18"/>
      <c r="E14" s="39"/>
      <c r="F14" s="39"/>
      <c r="G14" s="39"/>
      <c r="H14" s="39"/>
      <c r="I14" s="39"/>
      <c r="J14" s="39"/>
      <c r="K14" s="39"/>
      <c r="L14" s="39"/>
      <c r="M14" s="39"/>
      <c r="N14" s="39"/>
      <c r="O14" s="39"/>
      <c r="P14" s="39"/>
    </row>
    <row r="15" spans="1:16" ht="26.1" customHeight="1">
      <c r="A15" s="18"/>
      <c r="B15" s="18"/>
      <c r="C15" s="18"/>
      <c r="D15" s="18"/>
      <c r="E15" s="1"/>
      <c r="F15" s="1"/>
      <c r="G15" s="1"/>
      <c r="H15" s="1"/>
      <c r="I15" s="1"/>
      <c r="J15" s="1"/>
      <c r="K15" s="1"/>
      <c r="L15" s="1"/>
      <c r="M15" s="1"/>
      <c r="N15" s="1"/>
      <c r="O15" s="1"/>
      <c r="P15" s="1"/>
    </row>
    <row r="16" spans="1:16" ht="26.1" customHeight="1">
      <c r="A16" s="18"/>
      <c r="B16" s="18"/>
      <c r="C16" s="18"/>
      <c r="D16" s="18"/>
      <c r="E16" s="40" t="s">
        <v>108</v>
      </c>
      <c r="F16" s="40"/>
      <c r="G16" s="40"/>
      <c r="H16" s="40"/>
      <c r="I16" s="40"/>
      <c r="J16" s="40"/>
      <c r="K16" s="40"/>
      <c r="L16" s="40"/>
      <c r="M16" s="40"/>
      <c r="N16" s="40"/>
      <c r="O16" s="40"/>
      <c r="P16" s="40"/>
    </row>
    <row r="17" spans="1:16" ht="26.1" customHeight="1">
      <c r="A17" s="18"/>
      <c r="B17" s="18"/>
      <c r="C17" s="18"/>
      <c r="D17" s="18"/>
      <c r="E17" s="41" t="s">
        <v>109</v>
      </c>
      <c r="F17" s="41"/>
      <c r="G17" s="41"/>
      <c r="H17" s="41"/>
      <c r="I17" s="41"/>
      <c r="J17" s="41"/>
      <c r="K17" s="41"/>
      <c r="L17" s="41"/>
      <c r="M17" s="41"/>
      <c r="N17" s="41"/>
      <c r="O17" s="41"/>
      <c r="P17" s="41"/>
    </row>
    <row r="18" spans="1:16" ht="26.1" customHeight="1">
      <c r="A18" s="18"/>
      <c r="B18" s="18"/>
      <c r="C18" s="18"/>
      <c r="D18" s="18"/>
      <c r="E18" s="41"/>
      <c r="F18" s="41"/>
      <c r="G18" s="41"/>
      <c r="H18" s="41"/>
      <c r="I18" s="41"/>
      <c r="J18" s="41"/>
      <c r="K18" s="41"/>
      <c r="L18" s="41"/>
      <c r="M18" s="41"/>
      <c r="N18" s="41"/>
      <c r="O18" s="41"/>
      <c r="P18" s="41"/>
    </row>
    <row r="19" spans="1:16" ht="26.1" customHeight="1">
      <c r="A19" s="18"/>
      <c r="B19" s="18"/>
      <c r="C19" s="18"/>
      <c r="D19" s="18"/>
      <c r="E19" s="41"/>
      <c r="F19" s="41"/>
      <c r="G19" s="41"/>
      <c r="H19" s="41"/>
      <c r="I19" s="41"/>
      <c r="J19" s="41"/>
      <c r="K19" s="41"/>
      <c r="L19" s="41"/>
      <c r="M19" s="41"/>
      <c r="N19" s="41"/>
      <c r="O19" s="41"/>
      <c r="P19" s="41"/>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40" t="s">
        <v>110</v>
      </c>
      <c r="F21" s="40"/>
      <c r="G21" s="40"/>
      <c r="H21" s="40"/>
      <c r="I21" s="40"/>
      <c r="J21" s="40"/>
      <c r="K21" s="40"/>
      <c r="L21" s="40"/>
      <c r="M21" s="40"/>
      <c r="N21" s="40"/>
      <c r="O21" s="40"/>
      <c r="P21" s="40"/>
    </row>
    <row r="22" spans="1:16" ht="26.1" customHeight="1">
      <c r="A22" s="18"/>
      <c r="B22" s="18"/>
      <c r="C22" s="18"/>
      <c r="D22" s="18"/>
      <c r="E22" s="39" t="s">
        <v>111</v>
      </c>
      <c r="F22" s="39"/>
      <c r="G22" s="39"/>
      <c r="H22" s="39"/>
      <c r="I22" s="39"/>
      <c r="J22" s="39"/>
      <c r="K22" s="39"/>
      <c r="L22" s="39"/>
      <c r="M22" s="39"/>
      <c r="N22" s="39"/>
      <c r="O22" s="39"/>
      <c r="P22" s="39"/>
    </row>
    <row r="23" spans="1:16" ht="26.1" customHeight="1">
      <c r="A23" s="18"/>
      <c r="B23" s="18"/>
      <c r="C23" s="18"/>
      <c r="D23" s="18"/>
      <c r="E23" s="39"/>
      <c r="F23" s="39"/>
      <c r="G23" s="39"/>
      <c r="H23" s="39"/>
      <c r="I23" s="39"/>
      <c r="J23" s="39"/>
      <c r="K23" s="39"/>
      <c r="L23" s="39"/>
      <c r="M23" s="39"/>
      <c r="N23" s="39"/>
      <c r="O23" s="39"/>
      <c r="P23" s="39"/>
    </row>
    <row r="24" spans="1:16" ht="26.1" customHeight="1">
      <c r="A24" s="18"/>
      <c r="B24" s="18"/>
      <c r="C24" s="18"/>
      <c r="D24" s="18"/>
      <c r="E24" s="39"/>
      <c r="F24" s="39"/>
      <c r="G24" s="39"/>
      <c r="H24" s="39"/>
      <c r="I24" s="39"/>
      <c r="J24" s="39"/>
      <c r="K24" s="39"/>
      <c r="L24" s="39"/>
      <c r="M24" s="39"/>
      <c r="N24" s="39"/>
      <c r="O24" s="39"/>
      <c r="P24" s="39"/>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40" t="s">
        <v>112</v>
      </c>
      <c r="F26" s="40"/>
      <c r="G26" s="40"/>
      <c r="H26" s="40"/>
      <c r="I26" s="40"/>
      <c r="J26" s="40"/>
      <c r="K26" s="40"/>
      <c r="L26" s="40"/>
      <c r="M26" s="40"/>
      <c r="N26" s="40"/>
      <c r="O26" s="40"/>
      <c r="P26" s="40"/>
    </row>
    <row r="27" spans="1:16" ht="26.1" customHeight="1">
      <c r="A27" s="18"/>
      <c r="B27" s="18"/>
      <c r="C27" s="18"/>
      <c r="D27" s="18"/>
      <c r="E27" s="42" t="s">
        <v>148</v>
      </c>
      <c r="F27" s="42"/>
      <c r="G27" s="42"/>
      <c r="H27" s="42"/>
      <c r="I27" s="42"/>
      <c r="J27" s="42"/>
      <c r="K27" s="42"/>
      <c r="L27" s="42"/>
      <c r="M27" s="42"/>
      <c r="N27" s="42"/>
      <c r="O27" s="42"/>
      <c r="P27" s="42"/>
    </row>
    <row r="28" spans="1:16" ht="26.1" customHeight="1">
      <c r="A28" s="18"/>
      <c r="B28" s="18"/>
      <c r="C28" s="18"/>
      <c r="D28" s="18"/>
      <c r="E28" s="42"/>
      <c r="F28" s="42"/>
      <c r="G28" s="42"/>
      <c r="H28" s="42"/>
      <c r="I28" s="42"/>
      <c r="J28" s="42"/>
      <c r="K28" s="42"/>
      <c r="L28" s="42"/>
      <c r="M28" s="42"/>
      <c r="N28" s="42"/>
      <c r="O28" s="42"/>
      <c r="P28" s="42"/>
    </row>
    <row r="29" spans="1:16" ht="26.1" customHeight="1">
      <c r="A29" s="18"/>
      <c r="B29" s="18"/>
      <c r="C29" s="18"/>
      <c r="D29" s="18"/>
      <c r="E29" s="42"/>
      <c r="F29" s="42"/>
      <c r="G29" s="42"/>
      <c r="H29" s="42"/>
      <c r="I29" s="42"/>
      <c r="J29" s="42"/>
      <c r="K29" s="42"/>
      <c r="L29" s="42"/>
      <c r="M29" s="42"/>
      <c r="N29" s="42"/>
      <c r="O29" s="42"/>
      <c r="P29" s="42"/>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40" t="s">
        <v>113</v>
      </c>
      <c r="F31" s="40"/>
      <c r="G31" s="40"/>
      <c r="H31" s="40"/>
      <c r="I31" s="40"/>
      <c r="J31" s="40"/>
      <c r="K31" s="40"/>
      <c r="L31" s="40"/>
      <c r="M31" s="40"/>
      <c r="N31" s="40"/>
      <c r="O31" s="40"/>
      <c r="P31" s="40"/>
    </row>
    <row r="32" spans="1:16" ht="26.1" customHeight="1">
      <c r="A32" s="18"/>
      <c r="B32" s="18"/>
      <c r="C32" s="18"/>
      <c r="D32" s="18"/>
      <c r="E32" s="39" t="s">
        <v>114</v>
      </c>
      <c r="F32" s="39"/>
      <c r="G32" s="39"/>
      <c r="H32" s="39"/>
      <c r="I32" s="39"/>
      <c r="J32" s="39"/>
      <c r="K32" s="39"/>
      <c r="L32" s="39"/>
      <c r="M32" s="39"/>
      <c r="N32" s="39"/>
      <c r="O32" s="39"/>
      <c r="P32" s="39"/>
    </row>
    <row r="33" spans="1:16" ht="26.1" customHeight="1">
      <c r="A33" s="18"/>
      <c r="B33" s="18"/>
      <c r="C33" s="18"/>
      <c r="D33" s="18"/>
      <c r="E33" s="39"/>
      <c r="F33" s="39"/>
      <c r="G33" s="39"/>
      <c r="H33" s="39"/>
      <c r="I33" s="39"/>
      <c r="J33" s="39"/>
      <c r="K33" s="39"/>
      <c r="L33" s="39"/>
      <c r="M33" s="39"/>
      <c r="N33" s="39"/>
      <c r="O33" s="39"/>
      <c r="P33" s="39"/>
    </row>
    <row r="34" spans="1:16" ht="26.1" customHeight="1">
      <c r="A34" s="18"/>
      <c r="B34" s="18"/>
      <c r="C34" s="18"/>
      <c r="D34" s="18"/>
      <c r="E34" s="39"/>
      <c r="F34" s="39"/>
      <c r="G34" s="39"/>
      <c r="H34" s="39"/>
      <c r="I34" s="39"/>
      <c r="J34" s="39"/>
      <c r="K34" s="39"/>
      <c r="L34" s="39"/>
      <c r="M34" s="39"/>
      <c r="N34" s="39"/>
      <c r="O34" s="39"/>
      <c r="P34" s="39"/>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40" t="s">
        <v>115</v>
      </c>
      <c r="F36" s="40"/>
      <c r="G36" s="40"/>
      <c r="H36" s="40"/>
      <c r="I36" s="40"/>
      <c r="J36" s="40"/>
      <c r="K36" s="40"/>
      <c r="L36" s="40"/>
      <c r="M36" s="40"/>
      <c r="N36" s="40"/>
      <c r="O36" s="40"/>
      <c r="P36" s="40"/>
    </row>
    <row r="37" spans="1:16" ht="26.1" customHeight="1">
      <c r="A37" s="18"/>
      <c r="B37" s="18"/>
      <c r="C37" s="18"/>
      <c r="D37" s="18"/>
      <c r="E37" s="41" t="s">
        <v>116</v>
      </c>
      <c r="F37" s="41"/>
      <c r="G37" s="41"/>
      <c r="H37" s="41"/>
      <c r="I37" s="41"/>
      <c r="J37" s="41"/>
      <c r="K37" s="41"/>
      <c r="L37" s="41"/>
      <c r="M37" s="41"/>
      <c r="N37" s="41"/>
      <c r="O37" s="41"/>
      <c r="P37" s="41"/>
    </row>
    <row r="38" spans="1:16" ht="26.1" customHeight="1">
      <c r="A38" s="18"/>
      <c r="B38" s="18"/>
      <c r="C38" s="18"/>
      <c r="D38" s="18"/>
      <c r="E38" s="41"/>
      <c r="F38" s="41"/>
      <c r="G38" s="41"/>
      <c r="H38" s="41"/>
      <c r="I38" s="41"/>
      <c r="J38" s="41"/>
      <c r="K38" s="41"/>
      <c r="L38" s="41"/>
      <c r="M38" s="41"/>
      <c r="N38" s="41"/>
      <c r="O38" s="41"/>
      <c r="P38" s="41"/>
    </row>
    <row r="39" spans="1:16" ht="26.1" customHeight="1">
      <c r="A39" s="18"/>
      <c r="B39" s="18"/>
      <c r="C39" s="18"/>
      <c r="D39" s="18"/>
      <c r="E39" s="41"/>
      <c r="F39" s="41"/>
      <c r="G39" s="41"/>
      <c r="H39" s="41"/>
      <c r="I39" s="41"/>
      <c r="J39" s="41"/>
      <c r="K39" s="41"/>
      <c r="L39" s="41"/>
      <c r="M39" s="41"/>
      <c r="N39" s="41"/>
      <c r="O39" s="41"/>
      <c r="P39" s="41"/>
    </row>
    <row r="40" spans="1:16" ht="26.1" customHeight="1">
      <c r="A40" s="18"/>
      <c r="B40" s="18"/>
      <c r="C40" s="18"/>
      <c r="D40" s="18"/>
      <c r="E40" s="1"/>
      <c r="F40" s="1"/>
      <c r="G40" s="1"/>
      <c r="H40" s="1"/>
      <c r="I40" s="1"/>
      <c r="J40" s="1"/>
      <c r="K40" s="1"/>
      <c r="L40" s="1"/>
      <c r="M40" s="1"/>
      <c r="N40" s="1"/>
      <c r="O40" s="1"/>
      <c r="P40" s="1"/>
    </row>
    <row r="41" spans="1:16" ht="26.1" customHeight="1">
      <c r="A41" s="18"/>
      <c r="B41" s="18"/>
      <c r="C41" s="18"/>
      <c r="D41" s="18"/>
      <c r="E41" s="40" t="s">
        <v>117</v>
      </c>
      <c r="F41" s="40"/>
      <c r="G41" s="40"/>
      <c r="H41" s="40"/>
      <c r="I41" s="40"/>
      <c r="J41" s="40"/>
      <c r="K41" s="40"/>
      <c r="L41" s="40"/>
      <c r="M41" s="40"/>
      <c r="N41" s="40"/>
      <c r="O41" s="40"/>
      <c r="P41" s="40"/>
    </row>
    <row r="42" spans="1:16" ht="26.1" customHeight="1">
      <c r="A42" s="18"/>
      <c r="B42" s="18"/>
      <c r="C42" s="18"/>
      <c r="D42" s="18"/>
      <c r="E42" s="39" t="s">
        <v>118</v>
      </c>
      <c r="F42" s="39"/>
      <c r="G42" s="39"/>
      <c r="H42" s="39"/>
      <c r="I42" s="39"/>
      <c r="J42" s="39"/>
      <c r="K42" s="39"/>
      <c r="L42" s="39"/>
      <c r="M42" s="39"/>
      <c r="N42" s="39"/>
      <c r="O42" s="39"/>
      <c r="P42" s="39"/>
    </row>
    <row r="43" spans="1:16" ht="26.1" customHeight="1">
      <c r="A43" s="18"/>
      <c r="B43" s="18"/>
      <c r="C43" s="18"/>
      <c r="D43" s="18"/>
      <c r="E43" s="39"/>
      <c r="F43" s="39"/>
      <c r="G43" s="39"/>
      <c r="H43" s="39"/>
      <c r="I43" s="39"/>
      <c r="J43" s="39"/>
      <c r="K43" s="39"/>
      <c r="L43" s="39"/>
      <c r="M43" s="39"/>
      <c r="N43" s="39"/>
      <c r="O43" s="39"/>
      <c r="P43" s="39"/>
    </row>
    <row r="44" spans="1:16" ht="26.1" customHeight="1">
      <c r="A44" s="18"/>
      <c r="B44" s="18"/>
      <c r="C44" s="18"/>
      <c r="D44" s="18"/>
      <c r="E44" s="39"/>
      <c r="F44" s="39"/>
      <c r="G44" s="39"/>
      <c r="H44" s="39"/>
      <c r="I44" s="39"/>
      <c r="J44" s="39"/>
      <c r="K44" s="39"/>
      <c r="L44" s="39"/>
      <c r="M44" s="39"/>
      <c r="N44" s="39"/>
      <c r="O44" s="39"/>
      <c r="P44" s="39"/>
    </row>
    <row r="45" spans="1:16" ht="26.1" customHeight="1">
      <c r="A45" s="18"/>
      <c r="B45" s="18"/>
      <c r="C45" s="18"/>
      <c r="D45" s="18"/>
      <c r="E45" s="1"/>
      <c r="F45" s="1"/>
      <c r="G45" s="1"/>
      <c r="H45" s="1"/>
      <c r="I45" s="1"/>
      <c r="J45" s="1"/>
      <c r="K45" s="1"/>
      <c r="L45" s="1"/>
      <c r="M45" s="1"/>
      <c r="N45" s="1"/>
      <c r="O45" s="1"/>
      <c r="P45" s="1"/>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17">
    <mergeCell ref="E5:P5"/>
    <mergeCell ref="E27:P29"/>
    <mergeCell ref="E17:P19"/>
    <mergeCell ref="E21:P21"/>
    <mergeCell ref="E22:P24"/>
    <mergeCell ref="E26:P26"/>
    <mergeCell ref="E6:P6"/>
    <mergeCell ref="E7:P9"/>
    <mergeCell ref="E11:P11"/>
    <mergeCell ref="E12:P14"/>
    <mergeCell ref="E16:P16"/>
    <mergeCell ref="E42:P44"/>
    <mergeCell ref="E31:P31"/>
    <mergeCell ref="E32:P34"/>
    <mergeCell ref="E36:P36"/>
    <mergeCell ref="E37:P39"/>
    <mergeCell ref="E41:P4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Dashboard</vt:lpstr>
      <vt:lpstr>Risk Register</vt:lpstr>
      <vt:lpstr>Control Assessment</vt:lpstr>
      <vt:lpstr>Evidence Tracker</vt:lpstr>
      <vt:lpstr>Remediation Tracker</vt:lpstr>
      <vt:lpstr>Scoring Methodology</vt:lpstr>
      <vt:lpstr>Instructions</vt:lpstr>
      <vt:lpstr>ControlIDs</vt:lpstr>
      <vt:lpstr>RiskIDs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Portfolio</dc:creator>
  <cp:lastModifiedBy>Portfolio</cp:lastModifiedBy>
  <dcterms:created xsi:type="dcterms:W3CDTF">2026-10-15T01:37:02Z</dcterms:created>
  <dcterms:modified xsi:type="dcterms:W3CDTF">2026-10-15T01:37:24Z</dcterms:modified>
</cp:coreProperties>
</file>