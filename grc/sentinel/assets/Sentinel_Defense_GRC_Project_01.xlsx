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mc:AlternateContent>
  <xr:revisionPtr revIDLastSave="0" documentId="8_{0B133D51-19BB-40A8-AF9B-87A4365DFEF6}" xr6:coauthVersionLast="47" xr6:coauthVersionMax="47" xr10:uidLastSave="{00000000-0000-0000-0000-000000000000}"/>
  <bookViews>
    <workbookView showSheetTabs="0" xWindow="-120" yWindow="-120" windowWidth="51840" windowHeight="21840" xr2:uid="{00000000-000D-0000-FFFF-FFFF00000000}"/>
  </bookViews>
  <sheets>
    <sheet name="Dashboard" sheetId="1" r:id="rId1"/>
    <sheet name="Risk Register" sheetId="2" r:id="rId2"/>
    <sheet name="Control Assessment" sheetId="3" r:id="rId3"/>
    <sheet name="Evidence Tracker" sheetId="4" r:id="rId4"/>
    <sheet name="Remediation Tracker" sheetId="5" r:id="rId5"/>
    <sheet name="Scoring Methodology" sheetId="6" r:id="rId6"/>
    <sheet name="Instructions" sheetId="7" r:id="rId7"/>
  </sheets>
  <definedNames>
    <definedName name="ControlIDs">'Control Assessment'!$E$7:$E$106</definedName>
    <definedName name="EvidenceIDs">'Evidence Tracker'!$E$7:$E$106</definedName>
    <definedName name="RiskIDs">'Risk Register'!$E$7:$E$106</definedName>
    <definedName name="RiskTitles">'Risk Register'!$F$7:$F$106</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6" i="5" l="1"/>
  <c r="O105" i="5"/>
  <c r="O104" i="5"/>
  <c r="O103" i="5"/>
  <c r="O102" i="5"/>
  <c r="O101" i="5"/>
  <c r="O100" i="5"/>
  <c r="O99" i="5"/>
  <c r="O98" i="5"/>
  <c r="O97" i="5"/>
  <c r="O96" i="5"/>
  <c r="O95" i="5"/>
  <c r="O94" i="5"/>
  <c r="O93" i="5"/>
  <c r="O92" i="5"/>
  <c r="O91" i="5"/>
  <c r="O90" i="5"/>
  <c r="O89" i="5"/>
  <c r="O88" i="5"/>
  <c r="O87" i="5"/>
  <c r="O86" i="5"/>
  <c r="O85" i="5"/>
  <c r="O84" i="5"/>
  <c r="O83" i="5"/>
  <c r="O82" i="5"/>
  <c r="O81" i="5"/>
  <c r="O80" i="5"/>
  <c r="O79" i="5"/>
  <c r="O78" i="5"/>
  <c r="O77" i="5"/>
  <c r="O76" i="5"/>
  <c r="O75" i="5"/>
  <c r="O74" i="5"/>
  <c r="O73" i="5"/>
  <c r="O72" i="5"/>
  <c r="O71" i="5"/>
  <c r="O70" i="5"/>
  <c r="O69" i="5"/>
  <c r="O68" i="5"/>
  <c r="O67" i="5"/>
  <c r="O66" i="5"/>
  <c r="O65" i="5"/>
  <c r="O64" i="5"/>
  <c r="O63" i="5"/>
  <c r="O62" i="5"/>
  <c r="O61" i="5"/>
  <c r="O60" i="5"/>
  <c r="O59" i="5"/>
  <c r="O58" i="5"/>
  <c r="O57" i="5"/>
  <c r="O56" i="5"/>
  <c r="O55" i="5"/>
  <c r="O54" i="5"/>
  <c r="O53" i="5"/>
  <c r="O52" i="5"/>
  <c r="O51" i="5"/>
  <c r="O50" i="5"/>
  <c r="O49" i="5"/>
  <c r="O48" i="5"/>
  <c r="O47" i="5"/>
  <c r="O46" i="5"/>
  <c r="O45" i="5"/>
  <c r="O44" i="5"/>
  <c r="O43" i="5"/>
  <c r="O42" i="5"/>
  <c r="O41" i="5"/>
  <c r="O40" i="5"/>
  <c r="O39" i="5"/>
  <c r="O38" i="5"/>
  <c r="O37" i="5"/>
  <c r="O36" i="5"/>
  <c r="O35" i="5"/>
  <c r="O34" i="5"/>
  <c r="O33" i="5"/>
  <c r="O32" i="5"/>
  <c r="O31" i="5"/>
  <c r="O30" i="5"/>
  <c r="O29" i="5"/>
  <c r="O28" i="5"/>
  <c r="O27" i="5"/>
  <c r="O26" i="5"/>
  <c r="O25" i="5"/>
  <c r="O24" i="5"/>
  <c r="O23" i="5"/>
  <c r="O22" i="5"/>
  <c r="O21" i="5"/>
  <c r="O20" i="5"/>
  <c r="O19" i="5"/>
  <c r="O18" i="5"/>
  <c r="O17" i="5"/>
  <c r="O16" i="5"/>
  <c r="O15" i="5"/>
  <c r="O14" i="5"/>
  <c r="O13" i="5"/>
  <c r="O12" i="5"/>
  <c r="O11" i="5"/>
  <c r="O10" i="5"/>
  <c r="O9" i="5"/>
  <c r="O8" i="5"/>
  <c r="O7" i="5"/>
  <c r="Y106" i="2"/>
  <c r="V106" i="2"/>
  <c r="W106" i="2" s="1"/>
  <c r="M106" i="2"/>
  <c r="N106" i="2" s="1"/>
  <c r="Y105" i="2"/>
  <c r="V105" i="2"/>
  <c r="W105" i="2" s="1"/>
  <c r="M105" i="2"/>
  <c r="N105" i="2" s="1"/>
  <c r="Y104" i="2"/>
  <c r="V104" i="2"/>
  <c r="W104" i="2" s="1"/>
  <c r="M104" i="2"/>
  <c r="N104" i="2" s="1"/>
  <c r="Y103" i="2"/>
  <c r="V103" i="2"/>
  <c r="W103" i="2" s="1"/>
  <c r="M103" i="2"/>
  <c r="N103" i="2" s="1"/>
  <c r="Y102" i="2"/>
  <c r="V102" i="2"/>
  <c r="W102" i="2" s="1"/>
  <c r="M102" i="2"/>
  <c r="N102" i="2" s="1"/>
  <c r="Y101" i="2"/>
  <c r="V101" i="2"/>
  <c r="W101" i="2" s="1"/>
  <c r="M101" i="2"/>
  <c r="N101" i="2" s="1"/>
  <c r="Y100" i="2"/>
  <c r="V100" i="2"/>
  <c r="W100" i="2" s="1"/>
  <c r="M100" i="2"/>
  <c r="N100" i="2" s="1"/>
  <c r="Y99" i="2"/>
  <c r="V99" i="2"/>
  <c r="W99" i="2" s="1"/>
  <c r="M99" i="2"/>
  <c r="N99" i="2" s="1"/>
  <c r="Y98" i="2"/>
  <c r="V98" i="2"/>
  <c r="W98" i="2" s="1"/>
  <c r="M98" i="2"/>
  <c r="N98" i="2" s="1"/>
  <c r="Y97" i="2"/>
  <c r="V97" i="2"/>
  <c r="W97" i="2" s="1"/>
  <c r="M97" i="2"/>
  <c r="N97" i="2" s="1"/>
  <c r="Y96" i="2"/>
  <c r="V96" i="2"/>
  <c r="W96" i="2" s="1"/>
  <c r="M96" i="2"/>
  <c r="N96" i="2" s="1"/>
  <c r="Y95" i="2"/>
  <c r="V95" i="2"/>
  <c r="W95" i="2" s="1"/>
  <c r="M95" i="2"/>
  <c r="N95" i="2" s="1"/>
  <c r="Y94" i="2"/>
  <c r="V94" i="2"/>
  <c r="W94" i="2" s="1"/>
  <c r="M94" i="2"/>
  <c r="N94" i="2" s="1"/>
  <c r="Y93" i="2"/>
  <c r="V93" i="2"/>
  <c r="W93" i="2" s="1"/>
  <c r="M93" i="2"/>
  <c r="N93" i="2" s="1"/>
  <c r="Y92" i="2"/>
  <c r="V92" i="2"/>
  <c r="W92" i="2" s="1"/>
  <c r="M92" i="2"/>
  <c r="N92" i="2" s="1"/>
  <c r="Y91" i="2"/>
  <c r="V91" i="2"/>
  <c r="W91" i="2" s="1"/>
  <c r="M91" i="2"/>
  <c r="N91" i="2" s="1"/>
  <c r="Y90" i="2"/>
  <c r="V90" i="2"/>
  <c r="W90" i="2" s="1"/>
  <c r="M90" i="2"/>
  <c r="N90" i="2" s="1"/>
  <c r="Y89" i="2"/>
  <c r="V89" i="2"/>
  <c r="W89" i="2" s="1"/>
  <c r="M89" i="2"/>
  <c r="N89" i="2" s="1"/>
  <c r="Y88" i="2"/>
  <c r="V88" i="2"/>
  <c r="W88" i="2" s="1"/>
  <c r="M88" i="2"/>
  <c r="N88" i="2" s="1"/>
  <c r="Y87" i="2"/>
  <c r="V87" i="2"/>
  <c r="W87" i="2" s="1"/>
  <c r="M87" i="2"/>
  <c r="N87" i="2" s="1"/>
  <c r="Y86" i="2"/>
  <c r="V86" i="2"/>
  <c r="W86" i="2" s="1"/>
  <c r="M86" i="2"/>
  <c r="N86" i="2" s="1"/>
  <c r="Y85" i="2"/>
  <c r="V85" i="2"/>
  <c r="W85" i="2" s="1"/>
  <c r="M85" i="2"/>
  <c r="N85" i="2" s="1"/>
  <c r="Y84" i="2"/>
  <c r="V84" i="2"/>
  <c r="W84" i="2" s="1"/>
  <c r="M84" i="2"/>
  <c r="N84" i="2" s="1"/>
  <c r="Y83" i="2"/>
  <c r="V83" i="2"/>
  <c r="W83" i="2" s="1"/>
  <c r="M83" i="2"/>
  <c r="N83" i="2" s="1"/>
  <c r="Y82" i="2"/>
  <c r="V82" i="2"/>
  <c r="W82" i="2" s="1"/>
  <c r="M82" i="2"/>
  <c r="N82" i="2" s="1"/>
  <c r="Y81" i="2"/>
  <c r="V81" i="2"/>
  <c r="W81" i="2" s="1"/>
  <c r="M81" i="2"/>
  <c r="N81" i="2" s="1"/>
  <c r="Y80" i="2"/>
  <c r="V80" i="2"/>
  <c r="W80" i="2" s="1"/>
  <c r="M80" i="2"/>
  <c r="N80" i="2" s="1"/>
  <c r="Y79" i="2"/>
  <c r="V79" i="2"/>
  <c r="W79" i="2" s="1"/>
  <c r="M79" i="2"/>
  <c r="N79" i="2" s="1"/>
  <c r="Y78" i="2"/>
  <c r="V78" i="2"/>
  <c r="W78" i="2" s="1"/>
  <c r="M78" i="2"/>
  <c r="N78" i="2" s="1"/>
  <c r="Y77" i="2"/>
  <c r="V77" i="2"/>
  <c r="W77" i="2" s="1"/>
  <c r="M77" i="2"/>
  <c r="N77" i="2" s="1"/>
  <c r="Y76" i="2"/>
  <c r="V76" i="2"/>
  <c r="W76" i="2" s="1"/>
  <c r="M76" i="2"/>
  <c r="N76" i="2" s="1"/>
  <c r="Y75" i="2"/>
  <c r="V75" i="2"/>
  <c r="W75" i="2" s="1"/>
  <c r="M75" i="2"/>
  <c r="N75" i="2" s="1"/>
  <c r="Y74" i="2"/>
  <c r="V74" i="2"/>
  <c r="W74" i="2" s="1"/>
  <c r="M74" i="2"/>
  <c r="N74" i="2" s="1"/>
  <c r="Y73" i="2"/>
  <c r="V73" i="2"/>
  <c r="W73" i="2" s="1"/>
  <c r="M73" i="2"/>
  <c r="N73" i="2" s="1"/>
  <c r="Y72" i="2"/>
  <c r="V72" i="2"/>
  <c r="W72" i="2" s="1"/>
  <c r="M72" i="2"/>
  <c r="N72" i="2" s="1"/>
  <c r="Y71" i="2"/>
  <c r="V71" i="2"/>
  <c r="W71" i="2" s="1"/>
  <c r="M71" i="2"/>
  <c r="N71" i="2" s="1"/>
  <c r="Y70" i="2"/>
  <c r="V70" i="2"/>
  <c r="W70" i="2" s="1"/>
  <c r="M70" i="2"/>
  <c r="N70" i="2" s="1"/>
  <c r="Y69" i="2"/>
  <c r="V69" i="2"/>
  <c r="W69" i="2" s="1"/>
  <c r="M69" i="2"/>
  <c r="N69" i="2" s="1"/>
  <c r="Y68" i="2"/>
  <c r="V68" i="2"/>
  <c r="W68" i="2" s="1"/>
  <c r="M68" i="2"/>
  <c r="N68" i="2" s="1"/>
  <c r="Y67" i="2"/>
  <c r="V67" i="2"/>
  <c r="W67" i="2" s="1"/>
  <c r="M67" i="2"/>
  <c r="N67" i="2" s="1"/>
  <c r="Y66" i="2"/>
  <c r="V66" i="2"/>
  <c r="W66" i="2" s="1"/>
  <c r="M66" i="2"/>
  <c r="N66" i="2" s="1"/>
  <c r="Y65" i="2"/>
  <c r="V65" i="2"/>
  <c r="W65" i="2" s="1"/>
  <c r="M65" i="2"/>
  <c r="N65" i="2" s="1"/>
  <c r="Y64" i="2"/>
  <c r="V64" i="2"/>
  <c r="W64" i="2" s="1"/>
  <c r="M64" i="2"/>
  <c r="N64" i="2" s="1"/>
  <c r="Y63" i="2"/>
  <c r="V63" i="2"/>
  <c r="W63" i="2" s="1"/>
  <c r="M63" i="2"/>
  <c r="N63" i="2" s="1"/>
  <c r="Y62" i="2"/>
  <c r="V62" i="2"/>
  <c r="W62" i="2" s="1"/>
  <c r="M62" i="2"/>
  <c r="N62" i="2" s="1"/>
  <c r="Y61" i="2"/>
  <c r="V61" i="2"/>
  <c r="W61" i="2" s="1"/>
  <c r="M61" i="2"/>
  <c r="N61" i="2" s="1"/>
  <c r="Y60" i="2"/>
  <c r="V60" i="2"/>
  <c r="W60" i="2" s="1"/>
  <c r="M60" i="2"/>
  <c r="N60" i="2" s="1"/>
  <c r="Y59" i="2"/>
  <c r="V59" i="2"/>
  <c r="W59" i="2" s="1"/>
  <c r="M59" i="2"/>
  <c r="N59" i="2" s="1"/>
  <c r="Y58" i="2"/>
  <c r="V58" i="2"/>
  <c r="W58" i="2" s="1"/>
  <c r="M58" i="2"/>
  <c r="N58" i="2" s="1"/>
  <c r="Y57" i="2"/>
  <c r="V57" i="2"/>
  <c r="W57" i="2" s="1"/>
  <c r="M57" i="2"/>
  <c r="N57" i="2" s="1"/>
  <c r="Y56" i="2"/>
  <c r="V56" i="2"/>
  <c r="W56" i="2" s="1"/>
  <c r="M56" i="2"/>
  <c r="N56" i="2" s="1"/>
  <c r="Y55" i="2"/>
  <c r="V55" i="2"/>
  <c r="W55" i="2" s="1"/>
  <c r="M55" i="2"/>
  <c r="N55" i="2" s="1"/>
  <c r="Y54" i="2"/>
  <c r="V54" i="2"/>
  <c r="W54" i="2" s="1"/>
  <c r="M54" i="2"/>
  <c r="N54" i="2" s="1"/>
  <c r="Y53" i="2"/>
  <c r="V53" i="2"/>
  <c r="W53" i="2" s="1"/>
  <c r="M53" i="2"/>
  <c r="N53" i="2" s="1"/>
  <c r="Y52" i="2"/>
  <c r="V52" i="2"/>
  <c r="W52" i="2" s="1"/>
  <c r="M52" i="2"/>
  <c r="N52" i="2" s="1"/>
  <c r="Y51" i="2"/>
  <c r="V51" i="2"/>
  <c r="W51" i="2" s="1"/>
  <c r="M51" i="2"/>
  <c r="N51" i="2" s="1"/>
  <c r="Y50" i="2"/>
  <c r="V50" i="2"/>
  <c r="W50" i="2" s="1"/>
  <c r="M50" i="2"/>
  <c r="N50" i="2" s="1"/>
  <c r="Y49" i="2"/>
  <c r="V49" i="2"/>
  <c r="W49" i="2" s="1"/>
  <c r="M49" i="2"/>
  <c r="N49" i="2" s="1"/>
  <c r="Y48" i="2"/>
  <c r="V48" i="2"/>
  <c r="W48" i="2" s="1"/>
  <c r="M48" i="2"/>
  <c r="N48" i="2" s="1"/>
  <c r="Y47" i="2"/>
  <c r="V47" i="2"/>
  <c r="W47" i="2" s="1"/>
  <c r="M47" i="2"/>
  <c r="N47" i="2" s="1"/>
  <c r="Y46" i="2"/>
  <c r="V46" i="2"/>
  <c r="W46" i="2" s="1"/>
  <c r="M46" i="2"/>
  <c r="N46" i="2" s="1"/>
  <c r="Y45" i="2"/>
  <c r="V45" i="2"/>
  <c r="W45" i="2" s="1"/>
  <c r="M45" i="2"/>
  <c r="N45" i="2" s="1"/>
  <c r="Y44" i="2"/>
  <c r="V44" i="2"/>
  <c r="W44" i="2" s="1"/>
  <c r="M44" i="2"/>
  <c r="N44" i="2" s="1"/>
  <c r="Y43" i="2"/>
  <c r="V43" i="2"/>
  <c r="W43" i="2" s="1"/>
  <c r="M43" i="2"/>
  <c r="N43" i="2" s="1"/>
  <c r="Y42" i="2"/>
  <c r="V42" i="2"/>
  <c r="W42" i="2" s="1"/>
  <c r="M42" i="2"/>
  <c r="N42" i="2" s="1"/>
  <c r="Y41" i="2"/>
  <c r="V41" i="2"/>
  <c r="W41" i="2" s="1"/>
  <c r="M41" i="2"/>
  <c r="N41" i="2" s="1"/>
  <c r="Y40" i="2"/>
  <c r="V40" i="2"/>
  <c r="W40" i="2" s="1"/>
  <c r="M40" i="2"/>
  <c r="N40" i="2" s="1"/>
  <c r="Y39" i="2"/>
  <c r="V39" i="2"/>
  <c r="W39" i="2" s="1"/>
  <c r="M39" i="2"/>
  <c r="N39" i="2" s="1"/>
  <c r="Y38" i="2"/>
  <c r="V38" i="2"/>
  <c r="W38" i="2" s="1"/>
  <c r="M38" i="2"/>
  <c r="N38" i="2" s="1"/>
  <c r="Y37" i="2"/>
  <c r="V37" i="2"/>
  <c r="W37" i="2" s="1"/>
  <c r="M37" i="2"/>
  <c r="N37" i="2" s="1"/>
  <c r="Y36" i="2"/>
  <c r="V36" i="2"/>
  <c r="W36" i="2" s="1"/>
  <c r="M36" i="2"/>
  <c r="N36" i="2" s="1"/>
  <c r="Y35" i="2"/>
  <c r="V35" i="2"/>
  <c r="W35" i="2" s="1"/>
  <c r="M35" i="2"/>
  <c r="N35" i="2" s="1"/>
  <c r="Y34" i="2"/>
  <c r="V34" i="2"/>
  <c r="W34" i="2" s="1"/>
  <c r="M34" i="2"/>
  <c r="N34" i="2" s="1"/>
  <c r="Y33" i="2"/>
  <c r="V33" i="2"/>
  <c r="W33" i="2" s="1"/>
  <c r="M33" i="2"/>
  <c r="N33" i="2" s="1"/>
  <c r="Y32" i="2"/>
  <c r="V32" i="2"/>
  <c r="W32" i="2" s="1"/>
  <c r="M32" i="2"/>
  <c r="N32" i="2" s="1"/>
  <c r="Y31" i="2"/>
  <c r="V31" i="2"/>
  <c r="W31" i="2" s="1"/>
  <c r="M31" i="2"/>
  <c r="N31" i="2" s="1"/>
  <c r="Y30" i="2"/>
  <c r="V30" i="2"/>
  <c r="W30" i="2" s="1"/>
  <c r="M30" i="2"/>
  <c r="N30" i="2" s="1"/>
  <c r="Y29" i="2"/>
  <c r="V29" i="2"/>
  <c r="W29" i="2" s="1"/>
  <c r="M29" i="2"/>
  <c r="N29" i="2" s="1"/>
  <c r="Y28" i="2"/>
  <c r="V28" i="2"/>
  <c r="W28" i="2" s="1"/>
  <c r="M28" i="2"/>
  <c r="N28" i="2" s="1"/>
  <c r="Y27" i="2"/>
  <c r="V27" i="2"/>
  <c r="W27" i="2" s="1"/>
  <c r="M27" i="2"/>
  <c r="N27" i="2" s="1"/>
  <c r="Y26" i="2"/>
  <c r="V26" i="2"/>
  <c r="W26" i="2" s="1"/>
  <c r="M26" i="2"/>
  <c r="N26" i="2" s="1"/>
  <c r="Y25" i="2"/>
  <c r="V25" i="2"/>
  <c r="W25" i="2" s="1"/>
  <c r="M25" i="2"/>
  <c r="N25" i="2" s="1"/>
  <c r="Y24" i="2"/>
  <c r="V24" i="2"/>
  <c r="W24" i="2" s="1"/>
  <c r="M24" i="2"/>
  <c r="N24" i="2" s="1"/>
  <c r="Y23" i="2"/>
  <c r="V23" i="2"/>
  <c r="W23" i="2" s="1"/>
  <c r="M23" i="2"/>
  <c r="N23" i="2" s="1"/>
  <c r="Y22" i="2"/>
  <c r="V22" i="2"/>
  <c r="W22" i="2" s="1"/>
  <c r="M22" i="2"/>
  <c r="N22" i="2" s="1"/>
  <c r="Y21" i="2"/>
  <c r="V21" i="2"/>
  <c r="W21" i="2" s="1"/>
  <c r="M21" i="2"/>
  <c r="N21" i="2" s="1"/>
  <c r="Y20" i="2"/>
  <c r="V20" i="2"/>
  <c r="W20" i="2" s="1"/>
  <c r="M20" i="2"/>
  <c r="N20" i="2" s="1"/>
  <c r="Y19" i="2"/>
  <c r="V19" i="2"/>
  <c r="W19" i="2" s="1"/>
  <c r="M19" i="2"/>
  <c r="N19" i="2" s="1"/>
  <c r="Y18" i="2"/>
  <c r="V18" i="2"/>
  <c r="W18" i="2" s="1"/>
  <c r="M18" i="2"/>
  <c r="N18" i="2" s="1"/>
  <c r="Y17" i="2"/>
  <c r="V17" i="2"/>
  <c r="W17" i="2" s="1"/>
  <c r="M17" i="2"/>
  <c r="N17" i="2" s="1"/>
  <c r="Y16" i="2"/>
  <c r="V16" i="2"/>
  <c r="W16" i="2" s="1"/>
  <c r="M16" i="2"/>
  <c r="N16" i="2" s="1"/>
  <c r="Y15" i="2"/>
  <c r="V15" i="2"/>
  <c r="W15" i="2" s="1"/>
  <c r="M15" i="2"/>
  <c r="N15" i="2" s="1"/>
  <c r="Y14" i="2"/>
  <c r="V14" i="2"/>
  <c r="W14" i="2" s="1"/>
  <c r="M14" i="2"/>
  <c r="N14" i="2" s="1"/>
  <c r="Y13" i="2"/>
  <c r="V13" i="2"/>
  <c r="W13" i="2" s="1"/>
  <c r="M13" i="2"/>
  <c r="N13" i="2" s="1"/>
  <c r="Y12" i="2"/>
  <c r="V12" i="2"/>
  <c r="W12" i="2" s="1"/>
  <c r="M12" i="2"/>
  <c r="N12" i="2" s="1"/>
  <c r="Y11" i="2"/>
  <c r="V11" i="2"/>
  <c r="W11" i="2" s="1"/>
  <c r="M11" i="2"/>
  <c r="N11" i="2" s="1"/>
  <c r="V10" i="2"/>
  <c r="W10" i="2" s="1"/>
  <c r="M10" i="2"/>
  <c r="N10" i="2" s="1"/>
  <c r="Y10" i="2" s="1"/>
  <c r="V9" i="2"/>
  <c r="W9" i="2" s="1"/>
  <c r="M9" i="2"/>
  <c r="V8" i="2"/>
  <c r="W8" i="2" s="1"/>
  <c r="M8" i="2"/>
  <c r="V7" i="2"/>
  <c r="W7" i="2" s="1"/>
  <c r="M7" i="2"/>
  <c r="AE129" i="1"/>
  <c r="AE128" i="1"/>
  <c r="AE127" i="1"/>
  <c r="AE126" i="1"/>
  <c r="AE125" i="1"/>
  <c r="AE124" i="1"/>
  <c r="AE123" i="1"/>
  <c r="AE122" i="1"/>
  <c r="AE121" i="1"/>
  <c r="AE120" i="1"/>
  <c r="AE119" i="1"/>
  <c r="AE118" i="1"/>
  <c r="AE117" i="1"/>
  <c r="AE116" i="1"/>
  <c r="AE115" i="1"/>
  <c r="AE114" i="1"/>
  <c r="AE113" i="1"/>
  <c r="AE112" i="1"/>
  <c r="AE111" i="1"/>
  <c r="AE110" i="1"/>
  <c r="AE109" i="1"/>
  <c r="AE108" i="1"/>
  <c r="AE107" i="1"/>
  <c r="AE106" i="1"/>
  <c r="AE105" i="1"/>
  <c r="AE104" i="1"/>
  <c r="AE103" i="1"/>
  <c r="AE102" i="1"/>
  <c r="AE101" i="1"/>
  <c r="AE100" i="1"/>
  <c r="AE99" i="1"/>
  <c r="AE98" i="1"/>
  <c r="AE97" i="1"/>
  <c r="AE96" i="1"/>
  <c r="AE95" i="1"/>
  <c r="AE94" i="1"/>
  <c r="AE93" i="1"/>
  <c r="AE92" i="1"/>
  <c r="AE91" i="1"/>
  <c r="AE90" i="1"/>
  <c r="AE89" i="1"/>
  <c r="AE88" i="1"/>
  <c r="AE87" i="1"/>
  <c r="AE86" i="1"/>
  <c r="AE85" i="1"/>
  <c r="AE84" i="1"/>
  <c r="AE83" i="1"/>
  <c r="AE82" i="1"/>
  <c r="AE81" i="1"/>
  <c r="R81" i="1"/>
  <c r="AE80" i="1"/>
  <c r="AE79" i="1"/>
  <c r="AE78" i="1"/>
  <c r="Z78" i="1"/>
  <c r="N78" i="1"/>
  <c r="AE77" i="1"/>
  <c r="Z77" i="1"/>
  <c r="N77" i="1"/>
  <c r="AE76" i="1"/>
  <c r="Z76" i="1"/>
  <c r="N76" i="1"/>
  <c r="AE75" i="1"/>
  <c r="Z75" i="1"/>
  <c r="N75" i="1"/>
  <c r="AE74" i="1"/>
  <c r="Z74" i="1"/>
  <c r="N74" i="1"/>
  <c r="AE73" i="1"/>
  <c r="AE72" i="1"/>
  <c r="AE71" i="1"/>
  <c r="F71" i="1"/>
  <c r="AE70" i="1"/>
  <c r="F70" i="1"/>
  <c r="AE69" i="1"/>
  <c r="F69" i="1"/>
  <c r="AE68" i="1"/>
  <c r="F68" i="1"/>
  <c r="AE67" i="1"/>
  <c r="F67" i="1"/>
  <c r="AE66" i="1"/>
  <c r="F66" i="1"/>
  <c r="AE65" i="1"/>
  <c r="F65" i="1"/>
  <c r="AE64" i="1"/>
  <c r="F64" i="1"/>
  <c r="AE63" i="1"/>
  <c r="F63" i="1"/>
  <c r="AE62" i="1"/>
  <c r="F62" i="1"/>
  <c r="AE61" i="1"/>
  <c r="AE60" i="1"/>
  <c r="AE59" i="1"/>
  <c r="F59" i="1"/>
  <c r="AE58" i="1"/>
  <c r="AE57" i="1"/>
  <c r="F57" i="1"/>
  <c r="AE56" i="1"/>
  <c r="AE55" i="1"/>
  <c r="AE54" i="1"/>
  <c r="AE53" i="1"/>
  <c r="F53" i="1"/>
  <c r="AE52" i="1"/>
  <c r="AE51" i="1"/>
  <c r="AE50" i="1"/>
  <c r="AE49" i="1"/>
  <c r="X49" i="1"/>
  <c r="F55" i="1" s="1"/>
  <c r="L49" i="1"/>
  <c r="F49" i="1"/>
  <c r="AE48" i="1"/>
  <c r="AE47" i="1"/>
  <c r="AE46" i="1"/>
  <c r="AE45" i="1"/>
  <c r="AE44" i="1"/>
  <c r="AE43" i="1"/>
  <c r="AE42" i="1"/>
  <c r="AE41" i="1"/>
  <c r="AE40" i="1"/>
  <c r="AE39" i="1"/>
  <c r="AB39" i="1"/>
  <c r="AE38" i="1"/>
  <c r="AE37" i="1"/>
  <c r="AE36" i="1"/>
  <c r="AE35" i="1"/>
  <c r="AE34" i="1"/>
  <c r="AE33" i="1"/>
  <c r="AE20" i="1"/>
  <c r="R35" i="1" s="1"/>
  <c r="AG16" i="1"/>
  <c r="AF16" i="1"/>
  <c r="AE16" i="1"/>
  <c r="AF14" i="1"/>
  <c r="AF13" i="1"/>
  <c r="AF12" i="1"/>
  <c r="AF11" i="1"/>
  <c r="AF10" i="1"/>
  <c r="G19" i="6"/>
  <c r="F19" i="6"/>
  <c r="G18" i="6"/>
  <c r="G17" i="6"/>
  <c r="G16" i="6"/>
  <c r="X10" i="2"/>
  <c r="N9" i="2" l="1"/>
  <c r="X9" i="2" s="1"/>
  <c r="AE32" i="1"/>
  <c r="Y64" i="1" s="1"/>
  <c r="AB40" i="1"/>
  <c r="N8" i="2"/>
  <c r="X8" i="2" s="1"/>
  <c r="AE31" i="1"/>
  <c r="Y63" i="1" s="1"/>
  <c r="N7" i="2"/>
  <c r="X7" i="2" s="1"/>
  <c r="AE30" i="1"/>
  <c r="O65" i="1"/>
  <c r="M65" i="1"/>
  <c r="Y65" i="1"/>
  <c r="V65" i="1"/>
  <c r="H65" i="1"/>
  <c r="S65" i="1"/>
  <c r="S71" i="1"/>
  <c r="M71" i="1"/>
  <c r="O71" i="1"/>
  <c r="V71" i="1"/>
  <c r="H71" i="1"/>
  <c r="Y71" i="1"/>
  <c r="O70" i="1"/>
  <c r="H70" i="1"/>
  <c r="M70" i="1"/>
  <c r="Y70" i="1"/>
  <c r="V70" i="1"/>
  <c r="S70" i="1"/>
  <c r="V69" i="1"/>
  <c r="S69" i="1"/>
  <c r="M69" i="1"/>
  <c r="Y69" i="1"/>
  <c r="O69" i="1"/>
  <c r="H69" i="1"/>
  <c r="V68" i="1"/>
  <c r="H68" i="1"/>
  <c r="M68" i="1"/>
  <c r="S68" i="1"/>
  <c r="Y68" i="1"/>
  <c r="O68" i="1"/>
  <c r="S67" i="1"/>
  <c r="Y67" i="1"/>
  <c r="V67" i="1"/>
  <c r="O67" i="1"/>
  <c r="H67" i="1"/>
  <c r="M67" i="1"/>
  <c r="H66" i="1"/>
  <c r="V66" i="1"/>
  <c r="O66" i="1"/>
  <c r="Y66" i="1"/>
  <c r="S66" i="1"/>
  <c r="M66" i="1"/>
  <c r="H64" i="1"/>
  <c r="S64" i="1"/>
  <c r="V64" i="1"/>
  <c r="O64" i="1"/>
  <c r="V63" i="1"/>
  <c r="S63" i="1"/>
  <c r="O63" i="1"/>
  <c r="H63" i="1"/>
  <c r="V62" i="1"/>
  <c r="S62" i="1"/>
  <c r="O62" i="1"/>
  <c r="H62" i="1"/>
  <c r="R30" i="1"/>
  <c r="R32" i="1"/>
  <c r="Y62" i="1" l="1"/>
  <c r="R49" i="1"/>
  <c r="Y9" i="2"/>
  <c r="M64" i="1"/>
  <c r="AE17" i="1"/>
  <c r="M62" i="1"/>
  <c r="Y7" i="2"/>
  <c r="Y8" i="2"/>
  <c r="Y32" i="1"/>
  <c r="M63" i="1"/>
  <c r="AF86" i="1"/>
  <c r="AF88" i="1"/>
  <c r="AF87" i="1"/>
  <c r="AF89" i="1"/>
  <c r="AF85" i="1"/>
  <c r="AF94" i="1"/>
  <c r="AF90" i="1"/>
  <c r="AF93" i="1"/>
  <c r="AF92" i="1"/>
  <c r="AF91" i="1"/>
  <c r="AF4" i="1" l="1"/>
  <c r="L12" i="1"/>
  <c r="X12" i="1"/>
  <c r="W18" i="1"/>
  <c r="Y18" i="1"/>
  <c r="X19" i="1"/>
  <c r="V20" i="1"/>
  <c r="AF6" i="1"/>
  <c r="X18" i="1"/>
  <c r="Z21" i="1"/>
  <c r="Z18" i="1"/>
  <c r="X22" i="1"/>
  <c r="Z20" i="1"/>
  <c r="W22" i="1"/>
  <c r="W19" i="1"/>
  <c r="W20" i="1"/>
  <c r="Y20" i="1"/>
  <c r="Y21" i="1"/>
  <c r="AF3" i="1"/>
  <c r="F12" i="1"/>
  <c r="V22" i="1"/>
  <c r="AF5" i="1"/>
  <c r="V19" i="1"/>
  <c r="Y19" i="1"/>
  <c r="V21" i="1"/>
  <c r="Y22" i="1"/>
  <c r="R12" i="1"/>
  <c r="V18" i="1"/>
  <c r="Z22" i="1"/>
  <c r="Z19" i="1"/>
  <c r="X20" i="1"/>
  <c r="W21" i="1"/>
  <c r="X21" i="1"/>
  <c r="M86" i="1"/>
  <c r="S86" i="1"/>
  <c r="F86" i="1"/>
  <c r="O86" i="1"/>
  <c r="Y93" i="1"/>
  <c r="F93" i="1"/>
  <c r="M93" i="1"/>
  <c r="S93" i="1"/>
  <c r="V93" i="1"/>
  <c r="V86" i="1"/>
  <c r="Y86" i="1"/>
  <c r="H86" i="1"/>
  <c r="O88" i="1"/>
  <c r="H88" i="1"/>
  <c r="F88" i="1"/>
  <c r="V88" i="1"/>
  <c r="M88" i="1"/>
  <c r="Y88" i="1"/>
  <c r="S88" i="1"/>
  <c r="S87" i="1"/>
  <c r="F87" i="1"/>
  <c r="H87" i="1"/>
  <c r="M87" i="1"/>
  <c r="O87" i="1"/>
  <c r="V87" i="1"/>
  <c r="Y87" i="1"/>
  <c r="M89" i="1"/>
  <c r="O89" i="1"/>
  <c r="V89" i="1"/>
  <c r="Y89" i="1"/>
  <c r="S89" i="1"/>
  <c r="F89" i="1"/>
  <c r="H89" i="1"/>
  <c r="F85" i="1"/>
  <c r="M85" i="1"/>
  <c r="S85" i="1"/>
  <c r="Y85" i="1"/>
  <c r="O85" i="1"/>
  <c r="H85" i="1"/>
  <c r="V85" i="1"/>
  <c r="O94" i="1"/>
  <c r="Y94" i="1"/>
  <c r="S94" i="1"/>
  <c r="V94" i="1"/>
  <c r="M94" i="1"/>
  <c r="H94" i="1"/>
  <c r="F94" i="1"/>
  <c r="F90" i="1"/>
  <c r="H90" i="1"/>
  <c r="M90" i="1"/>
  <c r="O90" i="1"/>
  <c r="S90" i="1"/>
  <c r="V90" i="1"/>
  <c r="Y90" i="1"/>
  <c r="V92" i="1"/>
  <c r="F92" i="1"/>
  <c r="M92" i="1"/>
  <c r="S92" i="1"/>
  <c r="Y92" i="1"/>
  <c r="H92" i="1"/>
  <c r="O92" i="1"/>
  <c r="F91" i="1"/>
  <c r="M91" i="1"/>
  <c r="S91" i="1"/>
  <c r="V91" i="1"/>
  <c r="Y91" i="1"/>
  <c r="H91" i="1"/>
  <c r="O91" i="1"/>
  <c r="H93" i="1"/>
  <c r="O93" i="1"/>
  <c r="F28" i="1" l="1"/>
</calcChain>
</file>

<file path=xl/sharedStrings.xml><?xml version="1.0" encoding="utf-8"?>
<sst xmlns="http://schemas.openxmlformats.org/spreadsheetml/2006/main" count="655" uniqueCount="240">
  <si>
    <t>Rating</t>
  </si>
  <si>
    <t>Risks</t>
  </si>
  <si>
    <t>Low</t>
  </si>
  <si>
    <t>Moderate</t>
  </si>
  <si>
    <t>GRC PROJECT 01  /  EXECUTIVE WORKSPACE  /  TRAINING SCENARIO</t>
  </si>
  <si>
    <t>High</t>
  </si>
  <si>
    <t>VALIDATION STATUS</t>
  </si>
  <si>
    <t>INHERENT RATING</t>
  </si>
  <si>
    <t>Critical</t>
  </si>
  <si>
    <t>All</t>
  </si>
  <si>
    <t>Risk filters apply to the risk cards, distribution and heatmap. Evidence and action summaries include all records.</t>
  </si>
  <si>
    <t>Evidence stage</t>
  </si>
  <si>
    <t>Requests</t>
  </si>
  <si>
    <t>RISKS IN VIEW</t>
  </si>
  <si>
    <t>HIGH / CRITICAL</t>
  </si>
  <si>
    <t>VALIDATED IN VIEW</t>
  </si>
  <si>
    <t>PENDING VALIDATION</t>
  </si>
  <si>
    <t>Planned</t>
  </si>
  <si>
    <t>Requested</t>
  </si>
  <si>
    <t>Received</t>
  </si>
  <si>
    <t>In review</t>
  </si>
  <si>
    <t>Reviewed</t>
  </si>
  <si>
    <t>INHERENT RISK DISTRIBUTION</t>
  </si>
  <si>
    <t>LIKELIHOOD × IMPACT</t>
  </si>
  <si>
    <t>Rows: likelihood 5 → 1. Columns: impact 1 → 5.
Each cell counts risks; color reflects the score band.</t>
  </si>
  <si>
    <t>EVIDENCE COLLECTION</t>
  </si>
  <si>
    <t>VALIDATED EVIDENCE</t>
  </si>
  <si>
    <t>OVERDUE ACTIONS</t>
  </si>
  <si>
    <t>Risk ID</t>
  </si>
  <si>
    <t>Risk title</t>
  </si>
  <si>
    <t>Scenario fact / source</t>
  </si>
  <si>
    <t>Unverified assumptions</t>
  </si>
  <si>
    <t>Scope / asset</t>
  </si>
  <si>
    <t>Category</t>
  </si>
  <si>
    <t>Likelihood</t>
  </si>
  <si>
    <t>Impact</t>
  </si>
  <si>
    <t>Inherent score</t>
  </si>
  <si>
    <t>Inherent rating</t>
  </si>
  <si>
    <t>Proposed owner</t>
  </si>
  <si>
    <t>Treatment</t>
  </si>
  <si>
    <t>Validation status</t>
  </si>
  <si>
    <t>Workflow status</t>
  </si>
  <si>
    <t>Evidence IDs</t>
  </si>
  <si>
    <t>Residual likelihood</t>
  </si>
  <si>
    <t>Residual impact</t>
  </si>
  <si>
    <t>Residual score</t>
  </si>
  <si>
    <t>Residual rating</t>
  </si>
  <si>
    <t>Assessment notes</t>
  </si>
  <si>
    <t>Dashboard included</t>
  </si>
  <si>
    <t>R-001</t>
  </si>
  <si>
    <t>Missing MFA</t>
  </si>
  <si>
    <t>Sentinel Defense Solutions' fictional case study identifies that some employees do not have multifactor authentication (MFA) enabled. Source: Project 01 fictional case study. The number of affected accounts and whether privileged accounts are included have not been established.</t>
  </si>
  <si>
    <t>The number and roles of accounts without MFA, identity provider configuration, MFA enforcement policies, exceptions, compensating controls, and historical authentication activity have not been verified. No account compromise or data breach has been established.</t>
  </si>
  <si>
    <t>Pending scope confirmation</t>
  </si>
  <si>
    <t>Identity and access</t>
  </si>
  <si>
    <t>Mitigate</t>
  </si>
  <si>
    <t>Pending validation</t>
  </si>
  <si>
    <t>Proposed</t>
  </si>
  <si>
    <t>R-002</t>
  </si>
  <si>
    <t>Excessive Access Permissions</t>
  </si>
  <si>
    <t>Sentinel Defense Solutions' fictional case scenario identifies concerns that some employees may have access to files beyond their assigned job responsibilities. Source: Project 01 fictional case study.</t>
  </si>
  <si>
    <t>The number of affected employees, specific file repositories, actual permission assignments, sensitivity of accessible records, effectiveness of existing access controls, and frequency of access reviews have not been verified.</t>
  </si>
  <si>
    <t>GRC PROJECT 01  /  TRAINING WORKSPACE  /  CONTROL ASSESSMENT  /  EVIDENCE AND APPROVAL PENDING</t>
  </si>
  <si>
    <t>Control ID</t>
  </si>
  <si>
    <t>Proposed control objective</t>
  </si>
  <si>
    <t>Design test plan</t>
  </si>
  <si>
    <t>Operating test plan</t>
  </si>
  <si>
    <t>Design result</t>
  </si>
  <si>
    <t>Operating result</t>
  </si>
  <si>
    <t>Assessor</t>
  </si>
  <si>
    <t>Assessment date</t>
  </si>
  <si>
    <t>Facts / assumptions / notes</t>
  </si>
  <si>
    <t>C-001</t>
  </si>
  <si>
    <t>Enforce MFA on all applicable employee and privileged accounts, with documented exceptions and approved compensating safeguards where necessary.</t>
  </si>
  <si>
    <t>Not assessed</t>
  </si>
  <si>
    <t>E-001</t>
  </si>
  <si>
    <t>All control details and tests are proposals. No control failure or effectiveness conclusion has been validated.</t>
  </si>
  <si>
    <t>C-002</t>
  </si>
  <si>
    <t xml:space="preserve">Restrict access to sensitive files according to approved job responsibilities and least-privilege principles. </t>
  </si>
  <si>
    <t>Review access-control policies, role definitions, approval workflows, and permission configurations to determine whether the proposed controls would restrict unnecessary access.</t>
  </si>
  <si>
    <t>After scope confirmation, sample employee accounts and sensitive folders. Compare actual permissions against approved roles and access requests; inspect dated access reviews and remediation records.</t>
  </si>
  <si>
    <t>E-002</t>
  </si>
  <si>
    <t>Proposed least-privilege control. Existing permission restrictions, approval processes, and review effectiveness have not been verified. No control test has been performed.</t>
  </si>
  <si>
    <t>Evidence ID</t>
  </si>
  <si>
    <t>Requested evidence</t>
  </si>
  <si>
    <t>Purpose / proposed coverage</t>
  </si>
  <si>
    <t>Custodian</t>
  </si>
  <si>
    <t>Request date</t>
  </si>
  <si>
    <t>Due date</t>
  </si>
  <si>
    <t>Received date</t>
  </si>
  <si>
    <t>Status</t>
  </si>
  <si>
    <t>Evidence location</t>
  </si>
  <si>
    <t>Reviewer</t>
  </si>
  <si>
    <t>Review notes</t>
  </si>
  <si>
    <t>MFA policy, identity-provider enforcement configurations, account-level MFA coverage report, privileged-account coverage, approved exception register, compensating-control documentation, and dated authentication records.</t>
  </si>
  <si>
    <t>Confirm scope; evaluate design and operating effectiveness. Sampling population and period remain unverified.</t>
  </si>
  <si>
    <t>IT / Identity Administrator - proposed</t>
  </si>
  <si>
    <t>Planned request</t>
  </si>
  <si>
    <t>No evidence received or reviewed. E-001 identifies a planned request only.</t>
  </si>
  <si>
    <t>Current file-permission and group-membership exports, role definitions, approved access requests, historical permission-change records where available, and dated access-review results.</t>
  </si>
  <si>
    <t>Determine whether permissions to sensitive files align with approved job responsibilities and whether unnecessary access is identified and removed.</t>
  </si>
  <si>
    <t>IT / IAM Administrator - proposed, pending confirmation</t>
  </si>
  <si>
    <t>Evidence has not been requested, received, or reviewed. Scope, affected repositories, permissions, and access-review effectiveness remain unverified.</t>
  </si>
  <si>
    <t>Action ID</t>
  </si>
  <si>
    <t>Proposed action</t>
  </si>
  <si>
    <t>Approval status</t>
  </si>
  <si>
    <t>Target date</t>
  </si>
  <si>
    <t>Completed date</t>
  </si>
  <si>
    <t>Closure validation</t>
  </si>
  <si>
    <t>Days overdue</t>
  </si>
  <si>
    <t>Notes / dependencies</t>
  </si>
  <si>
    <t>A-001</t>
  </si>
  <si>
    <t>Confirm MFA coverage and approved exceptions; enforce MFA on applicable employee and privileged accounts; implement approved compensating safeguards where exceptions are necessary; verify enforcement using updated configurations and account-level coverage reports.</t>
  </si>
  <si>
    <t>Security owner - proposed</t>
  </si>
  <si>
    <t>Confirm identity-provider scope, affected accounts, privileged access, and approved exceptions. Obtain risk-owner approval and assign implementation responsibility before scheduling changes. No corrective action or independent closure verification has occurred.</t>
  </si>
  <si>
    <t>A-002</t>
  </si>
  <si>
    <t xml:space="preserve">Review access permissions against approved job responsibilities; identify and remove unjustified access following authorization; establish periodic access reviews; independently verify corrected permissions.   </t>
  </si>
  <si>
    <t>IT / IAM Administrator - proposed</t>
  </si>
  <si>
    <t>Pending approval</t>
  </si>
  <si>
    <t>Proposed training rubric — requires project approval. Inherent and residual score = likelihood × impact. No residual score is estimated.</t>
  </si>
  <si>
    <t>Level</t>
  </si>
  <si>
    <t>Likelihood (proposed)</t>
  </si>
  <si>
    <t>Impact (proposed)</t>
  </si>
  <si>
    <t>Interpretation</t>
  </si>
  <si>
    <t>Rare</t>
  </si>
  <si>
    <t>Minimal</t>
  </si>
  <si>
    <t>Limited disruption</t>
  </si>
  <si>
    <t>Unlikely</t>
  </si>
  <si>
    <t>Minor</t>
  </si>
  <si>
    <t>Manageable local disruption</t>
  </si>
  <si>
    <t>Possible</t>
  </si>
  <si>
    <t>Meaningful service or business disruption</t>
  </si>
  <si>
    <t>Likely</t>
  </si>
  <si>
    <t>Major</t>
  </si>
  <si>
    <t>Material operational or information harm</t>
  </si>
  <si>
    <t>Almost certain</t>
  </si>
  <si>
    <t>Severe</t>
  </si>
  <si>
    <t>Extensive or sustained business harm</t>
  </si>
  <si>
    <t>Band</t>
  </si>
  <si>
    <t>Minimum score</t>
  </si>
  <si>
    <t>Maximum score</t>
  </si>
  <si>
    <t>Design effectiveness: the policy and configuration could meet the objective if followed. Operating effectiveness: dated evidence shows the control actually worked over an agreed period. Configuration alone does not establish consistent operation.</t>
  </si>
  <si>
    <t>Validation requires a confirmed scope, traceable evidence, documented testing and reviewer approval. A validated status is a user-entered conclusion and must be supported. Proposed owners, treatments and target dates require approval. Risk acceptance requires an authorized decision.</t>
  </si>
  <si>
    <t>01  Start with scope</t>
  </si>
  <si>
    <t>02  Edit the assessment</t>
  </si>
  <si>
    <t>03  Gather and assess evidence</t>
  </si>
  <si>
    <t>04  Agree the response</t>
  </si>
  <si>
    <t>05  Explore the dashboard</t>
  </si>
  <si>
    <t>Use the left sidebar on every page. The current section is highlighted in cyan; Dashboard returns to the overview. Four dedicated columns keep navigation clear of the data. Bottom worksheet tabs remain hidden. Mint dropdowns filter risk views. Native charts include hidden source data and update when inputs change.</t>
  </si>
  <si>
    <t>06  Add records and keep formulas</t>
  </si>
  <si>
    <t>100 prepared rows are available on each tracker (rows 7–106). Fill an existing blank row and retain formula columns. Risk IDs must be unique; use stable IDs to link the trackers. Beyond row 106, extend tables, formulas, validation and dashboard ranges together.</t>
  </si>
  <si>
    <t>07  Input and formula cues</t>
  </si>
  <si>
    <t>08  Substantive inputs still needed</t>
  </si>
  <si>
    <t>Actual affected scope; supporting evidence and assessment period; assessor and reviewer; approved owner and treatment; approved action and target date; tested residual likelihood and impact. Leave these blank or explicitly pending until supplied.</t>
  </si>
  <si>
    <t>SELECT RISK</t>
  </si>
  <si>
    <t>ASSESSMENT WORKSPACE / Risk cards and heatmap follow the filters above. Progress, insights and action priorities below include all records. Planned requests and completed actions do not establish verified closure.</t>
  </si>
  <si>
    <t>ASSESSMENT READINESS / ALL RECORDS</t>
  </si>
  <si>
    <t>CONTROLS ASSESSED</t>
  </si>
  <si>
    <t>EVIDENCE REVIEWED</t>
  </si>
  <si>
    <t>CLOSURES VERIFIED</t>
  </si>
  <si>
    <t>UNSCHEDULED ACTIONS</t>
  </si>
  <si>
    <t>EXECUTIVE INSIGHTS</t>
  </si>
  <si>
    <t>RISK SCORECARD / FIRST 10 REGISTERED RISKS</t>
  </si>
  <si>
    <t>Inherent</t>
  </si>
  <si>
    <t>Validation</t>
  </si>
  <si>
    <t>Controls assessed</t>
  </si>
  <si>
    <t>Evidence reviewed</t>
  </si>
  <si>
    <t>Actions verified</t>
  </si>
  <si>
    <t>EVIDENCE PIPELINE</t>
  </si>
  <si>
    <t>REMEDIATION PROGRESS</t>
  </si>
  <si>
    <t>Open</t>
  </si>
  <si>
    <t>In progress</t>
  </si>
  <si>
    <t>Under review</t>
  </si>
  <si>
    <t>Blocked</t>
  </si>
  <si>
    <t>Completed</t>
  </si>
  <si>
    <t>Stages reflect request workflow. Reviewed evidence still requires a supported validation conclusion.</t>
  </si>
  <si>
    <t>Completed = implementation recorded. Verified = approval + completion date + evidence IDs + validated closure.</t>
  </si>
  <si>
    <t>PRIORITY ACTIONS / TOP 10 UNVERIFIED ACTIONS</t>
  </si>
  <si>
    <t>Ranked by inherent risk score, then overdue status; source order breaks ties. Missing target dates are shown explicitly.</t>
  </si>
  <si>
    <t>Action / Risk</t>
  </si>
  <si>
    <t>Risk score</t>
  </si>
  <si>
    <t>Approval</t>
  </si>
  <si>
    <t>Workflow</t>
  </si>
  <si>
    <t>Next prerequisite</t>
  </si>
  <si>
    <t>Training scenario / Provisional risk ratings are not organization-wide maturity scores. No maturity percentage is inferred.</t>
  </si>
  <si>
    <t>R-003</t>
  </si>
  <si>
    <t>Shared Administrator Accounts</t>
  </si>
  <si>
    <t>Sentinel Defense Solutions' fictional case study states that an external IT support vendor uses shared administrator accounts. Source: Project 01 fictional case study. The account privileges, number of users, affected systems, and existing safeguards have not been established.</t>
  </si>
  <si>
    <t xml:space="preserve">The number and identities of vendor personnel using shared administrator accounts, account privileges, affected systems, MFA enforcement, credential-management practices, activity attribution, access approvals, and existing monitoring controls have not been verified. No account compromise, misuse, or security incident has been established. </t>
  </si>
  <si>
    <t xml:space="preserve">                </t>
  </si>
  <si>
    <t xml:space="preserve">Proposed scope: shared vendor administrator accounts, systems managed by the external IT provider, and information accessible through those systems. Actual access scope and data sensitivity require confirmation. </t>
  </si>
  <si>
    <t>C-003</t>
  </si>
  <si>
    <t xml:space="preserve">Ensure external IT vendor administrators use individually attributable, approved privileged access with MFA, least-privilege permissions, and appropriate activity logging and monitoring. Shared administrator credentials should be eliminated where feasible or subject to documented, approved safeguards.  </t>
  </si>
  <si>
    <t>Review the vendor access policy, privileged-account inventory, administrator identity configurations, role definitions, MFA requirements, and access approval procedures. Compare documented requirements and configurations against the control objective to determine whether individual accountability, least privilege, and appropriate safeguards are adequately designed.</t>
  </si>
  <si>
    <t xml:space="preserve">After defining the assessment period and population, select a documented sample of vendor administrator accounts and privileged sessions. Compare each sampled account with approved access records, assigned roles, MFA enforcement records, and privileged activity logs. Determine whether access was individually attributable, authorized, appropriately restricted, and monitored. Record exceptions against predefined criteria. </t>
  </si>
  <si>
    <t>E-003</t>
  </si>
  <si>
    <t>Proposed privileged-access control and test procedures. The fictional scenario establishes use of shared vendor administrator accounts, but actual account privileges, authorized users, MFA enforcement, and monitoring practices remain unverified. No design or operating effectiveness testing has been performed.</t>
  </si>
  <si>
    <t xml:space="preserve">Privileged-account inventory; vendor administrator personnel roster; account-to-user mappings; role and permission exports; vendor access approval records; MFA enforcement configurations and dated sign-in records; privileged session/activity logs; and documented shared-account exceptions or compensating safeguards, if applicable. </t>
  </si>
  <si>
    <t>Sentinel IT / IAM Administrator and external IT vendor administrator - proposed, pending confirmation.</t>
  </si>
  <si>
    <t>Planned evidence request only. No evidence has been requested, received, or reviewed. Before testing, confirm source-system coverage, record dates, completeness, and reliability; reconcile vendor records with Sentinel account inventories and approvals; investigate missing or inconsistent records. No control effectiveness conclusion has been reached.</t>
  </si>
  <si>
    <t>A-003</t>
  </si>
  <si>
    <t>Sentinel IAM Administrator - proposed</t>
  </si>
  <si>
    <t xml:space="preserve">Confirm the population and scope of vendor privileged accounts; replace shared administrator access with individually attributable, approved accounts where feasible; enforce MFA and least-privilege permissions; disable or appropriately safeguard legacy shared credentials; implement privileged activity logging, periodic access reviews, and timely access revocation. Independently verify the implemented changes before recommending closure. </t>
  </si>
  <si>
    <t>R-004</t>
  </si>
  <si>
    <t>Missing Formal Cybersecurity Risk Register</t>
  </si>
  <si>
    <t>Governance</t>
  </si>
  <si>
    <t>IT Security Manager - Proposed</t>
  </si>
  <si>
    <t>IT Security Manager - proposed</t>
  </si>
  <si>
    <t>E-004</t>
  </si>
  <si>
    <t xml:space="preserve">Sentinel Defense Solutions' fictional case study states that the organization does not have a documented cybersecurity risk register. Source: Project 01 fictional case study. The existence and effectiveness of other risk management activities have not been established. </t>
  </si>
  <si>
    <t xml:space="preserve">Existing risk identification practices, departmental risk records, risk ownership assignments, assessment methodology, review frequency, escalation procedures, management reporting, treatment approvals, and risk acceptance authority have not been verified. The duration of the documented-register gap and any resulting incidents or losses are unknown. </t>
  </si>
  <si>
    <t xml:space="preserve">Enterprise cybersecurity risk identification, assessment, ownership, prioritization, treatment tracking, escalation, and leadership reporting across Sentinel operations and relevant third-party relationships. Actual process coverage and existing safeguards require confirmation. </t>
  </si>
  <si>
    <t>C-004</t>
  </si>
  <si>
    <t xml:space="preserve">Establish and maintain a documented enterprise cybersecurity risk management process and centralized risk register that records identified risks, likelihood and impact assessments, assigned risk owners, treatment decisions, approval status, review dates, escalation criteria, and management reporting. </t>
  </si>
  <si>
    <t xml:space="preserve">Review the documented cybersecurity risk management policy, risk assessment methodology, risk register template, ownership requirements, risk acceptance authority, review schedule, escalation criteria, and management reporting procedures. Determine whether the proposed process is adequately designed to identify, assess, assign, prioritize, treat, monitor, and report cybersecurity risks. </t>
  </si>
  <si>
    <t xml:space="preserve">After establishing the assessment period and risk population, select a documented sample of cybersecurity risks. Verify that each sampled risk has an assessment, assigned owner, documented treatment decision, appropriate approvals, and evidence of periodic review or escalation where required. Compare sampled records against management reports and supporting documentation; record exceptions against predefined criteria. </t>
  </si>
  <si>
    <t>Proposed enterprise cybersecurity risk management control and test procedures. The fictional scenario confirms that Sentinel lacks a documented cybersecurity risk register, but existing alternative risk management activities have not been assessed. No control design or operating effectiveness testing has been performed. Control ownership, approval, and implementation remain unverified.</t>
  </si>
  <si>
    <t xml:space="preserve">Cybersecurity risk management policies and procedures; existing departmental risk lists or risk records; risk assessment methodology and scoring criteria; risk ownership assignments; treatment and risk acceptance approval records; risk review schedules and meeting minutes; escalation procedures; management risk reports; and relevant third-party risk management records, if available. </t>
  </si>
  <si>
    <t>Determine whether Sentinel has documented or alternative practices for identifying, assessing, assigning, treating, escalating, monitoring, and reporting cybersecurity risks. Establish the relevant process population and assessment period, evaluate the completeness and reliability of available records, and identify governance gaps requiring remediation.</t>
  </si>
  <si>
    <t>Sentinel IT Security Manager and relevant business or risk management representatives - proposed, pending confirmation.</t>
  </si>
  <si>
    <t xml:space="preserve">Planned evidence request only. No evidence has been requested, received, or reviewed. The fictional scenario confirms the absence of a documented cybersecurity risk register, but other risk management practices remain unverified. Confirm record ownership, completeness, dates, approvals, and source reliability before testing. No design or operating effectiveness conclusion has been reached. </t>
  </si>
  <si>
    <t>A-004</t>
  </si>
  <si>
    <t xml:space="preserve">Develop and obtain approval for an enterprise cybersecurity risk management policy and centralized risk register. Define standardized risk identification and scoring criteria, assigned risk owners, treatment and acceptance approval authorities, periodic review requirements, escalation thresholds, and leadership reporting procedures. Identify and document the initial risk population, train responsible personnel, and establish recurring governance reviews. Validate implementation and operation before recommending remediation closure. </t>
  </si>
  <si>
    <t>Confirm affected repositories and roles; obtain data owner approval for access changes; document authorized exceptions, establish review frequency and closure criteria. No remediation has been performed or verified.</t>
  </si>
  <si>
    <t>Confirm affected systems, vendor administrator roster, technical compatibility, and operational support requirements. Obtain risk owner and applicable system-owner approvals before implementation. Coordinate changes with the external IT vendor to prevent service disruption. Define approved exceptions and compensating safeguards where individual accounts are not technically feasible. Closure requires verified account configurations, shared-account disposition, access approvals, MFA enforcement, and attributable privileged activity records. No remediation has been approved, performed, or validated.</t>
  </si>
  <si>
    <t>Requires leadership sponsorship, confirmation of existing risk management practices, agreement on risk ownership and acceptance authority, coordination with relevant business units and third-party stakeholders, approval of assessment criteria, and allocation of resources for implementation and ongoing reviews. Closure should be supported by an approved policy, operational risk register, documented ownership and treatment decisions, evidence of training or communication, and records demonstrating completed risk reviews and appropriate escalation. All activities remain proposed, no approval, implementation, or closure validation has occurred.</t>
  </si>
  <si>
    <t>Determine whether vendor administrator access is individually attributable, authorized, restricted by least privilege, protected by MFA, and appropriately monitored. Confirm affected systems, account population, and assessment period before testing. Evaluate approved exceptions and compensating safeguards where shared accounts remain necessary.</t>
  </si>
  <si>
    <t>Proposed scope: file repositories containing customer records, employee PII, and contract documentation. Actual repositories, affected users, permission assignments, and data sensitivity require confirmation.</t>
  </si>
  <si>
    <t>Review the MFA policy, identity-provider configurations, enforcement scope, privileged-account requirements, exception register, and approved compensating safeguards. Determine whether the proposed design requires MFA for all applicable accounts and defines appropriate exception approval and review procedures.</t>
  </si>
  <si>
    <t>After confirming the assessment period and account population, select and document a sample covering employee, privileged, newly created, and exception accounts where applicable. Inspect dated authentication records and account-level configurations to verify MFA enforcement throughout the period. Check that exceptions were authorized and compensating safeguards operated as approved. Record results and exceptions against predefined criteria.</t>
  </si>
  <si>
    <t>GRC PROJECT 01  /  TRAINING WORKSPACE  /  FOUR SIMULATED RISKS  /  EVIDENCE AND APPROVAL PENDING</t>
  </si>
  <si>
    <t>SELECT RISK ID</t>
  </si>
  <si>
    <t>Completed = implementation recorded. Verified = approved action, valid completion date and validated closure, supported by one unique, reviewed and validated evidence record for the same risk, with received date, location and reviewer.</t>
  </si>
  <si>
    <t>Closure evidence ID</t>
  </si>
  <si>
    <t>Scoring bands: Low starts at 1. Edit the Moderate, High and Critical minimums in F16:F18; maximums calculate from the next band. Minimums must be increasing whole numbers between 2 and 25. All four assessments are simulated and pending validation.</t>
  </si>
  <si>
    <t>Confirm the applications, accounts, repositories and governance processes covered by each of the four risks. Record confirmed facts and their sources separately from assumptions in Risk Register. The initial source is the user-provided fictional scenario.</t>
  </si>
  <si>
    <t>Edit input columns and retain formulas. Likelihood and impact accept whole numbers 1–5; supply both values. Blank residual inputs remain unassessed. Edit Moderate, High and Critical minimum thresholds on Scoring Methodology. Band maximums calculate automatically; invalid threshold order is flagged.</t>
  </si>
  <si>
    <t>E-001–E-004 are planned requests, not collected evidence. Enter dates, custodian, secure location and reviewer only when known. Use C-001–C-004 to document design and operating tests separately. Validate conclusions only after evidence and review support them.</t>
  </si>
  <si>
    <t>Confirm proposed owners and treatment decisions. Obtain approval before scheduling or implementation. Record completion only after work occurs. Closure requires a valid completion date and one primary evidence ID for the same risk. That evidence record must be reviewed and validated, with a received date, location and reviewer. Its location may reference a package of supporting files. Days overdue stays blank without a target date.</t>
  </si>
  <si>
    <t>Pale blue fields are editable; gray fields calculate. Risk assessment notes in X7:X10 combine a calculated score summary with the scenario explanation. Edit their wording in the formula bar and preserve the score references. Fixed-choice fields have dropdowns. Ratings use green for Low, yellow for Moderate, red for High and dark red for Critical. Pasted values can bypass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</si>
</sst>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7">
    <font>
      <sz val="11"/>
      <name val="Carlito"/>
    </font>
    <font>
      <sz val="11"/>
      <color rgb="FF17243B"/>
      <name val="Arial"/>
    </font>
    <font>
      <b/>
      <sz val="17"/>
      <color rgb="FFFFFFFF"/>
      <name val="Arial"/>
    </font>
    <font>
      <sz val="11"/>
      <color rgb="FFAABAD0"/>
      <name val="Arial"/>
    </font>
    <font>
      <b/>
      <sz val="11"/>
      <color rgb="FFFFFFFF"/>
      <name val="Arial"/>
    </font>
    <font>
      <b/>
      <sz val="17"/>
      <color rgb="FF0B1426"/>
      <name val="Arial"/>
    </font>
    <font>
      <sz val="11"/>
      <color rgb="FF0B1426"/>
      <name val="Arial"/>
    </font>
    <font>
      <sz val="11"/>
      <color rgb="FFFFFFFF"/>
      <name val="Arial"/>
    </font>
    <font>
      <b/>
      <sz val="12"/>
      <color rgb="FF0B1426"/>
      <name val="Arial"/>
    </font>
    <font>
      <sz val="11"/>
      <color rgb="FFEAF6FF"/>
      <name val="Arial"/>
    </font>
    <font>
      <b/>
      <sz val="25"/>
      <color rgb="FFEAF6FF"/>
      <name val="Arial"/>
    </font>
    <font>
      <sz val="10"/>
      <color rgb="FFA5BDD1"/>
      <name val="Arial"/>
    </font>
    <font>
      <sz val="11"/>
      <color rgb="FF081323"/>
      <name val="Arial"/>
    </font>
    <font>
      <b/>
      <sz val="23"/>
      <color rgb="FFEAF6FF"/>
      <name val="Arial"/>
    </font>
    <font>
      <b/>
      <sz val="23"/>
      <color rgb="FFFF8B96"/>
      <name val="Arial"/>
    </font>
    <font>
      <b/>
      <sz val="13"/>
      <color rgb="FFEAF6FF"/>
      <name val="Arial"/>
    </font>
    <font>
      <b/>
      <sz val="14"/>
      <color rgb="FFEAF6FF"/>
      <name val="Arial"/>
    </font>
    <font>
      <b/>
      <sz val="16"/>
      <color rgb="FFEAF6FF"/>
      <name val="Arial"/>
    </font>
    <font>
      <sz val="11"/>
      <color rgb="FF17243B"/>
      <name val="Arial"/>
    </font>
    <font>
      <b/>
      <sz val="10"/>
      <color rgb="FFA5BDD1"/>
      <name val="Arial"/>
      <family val="2"/>
    </font>
    <font>
      <sz val="11"/>
      <color rgb="FF17243B"/>
      <name val="Arial"/>
      <family val="2"/>
    </font>
    <font>
      <b/>
      <sz val="11"/>
      <color rgb="FFA5BDD1"/>
      <name val="Arial"/>
    </font>
    <font>
      <b/>
      <sz val="11"/>
      <color rgb="FF081323"/>
      <name val="Arial"/>
    </font>
    <font>
      <sz val="11"/>
      <color rgb="FFE6F3FF"/>
      <name val="Arial"/>
    </font>
    <font>
      <b/>
      <sz val="12"/>
      <color rgb="FF2DD4BF"/>
      <name val="Arial"/>
    </font>
    <font>
      <b/>
      <sz val="10"/>
      <color rgb="FFA5BDD1"/>
      <name val="Arial"/>
    </font>
    <font>
      <b/>
      <sz val="24"/>
      <color rgb="FF2DD4BF"/>
      <name val="Arial"/>
    </font>
    <font>
      <sz val="11"/>
      <color rgb="FFE6F3FF"/>
      <name val="Arial"/>
    </font>
    <font>
      <sz val="11"/>
      <color rgb="FFFBBF24"/>
      <name val="Arial"/>
    </font>
    <font>
      <sz val="10"/>
      <color rgb="FFFBBF24"/>
      <name val="Arial"/>
    </font>
    <font>
      <sz val="10"/>
      <color rgb="FFE6F3FF"/>
      <name val="Arial"/>
    </font>
    <font>
      <b/>
      <sz val="11"/>
      <color rgb="FF2DD4BF"/>
      <name val="Arial"/>
    </font>
    <font>
      <sz val="10"/>
      <color rgb="FFA5BDD1"/>
      <name val="Arial"/>
    </font>
    <font>
      <b/>
      <sz val="11"/>
      <color rgb="FFA5BDD1"/>
      <name val="Arial"/>
      <family val="2"/>
    </font>
    <font>
      <b/>
      <sz val="11"/>
      <color rgb="FFEAF6FF"/>
      <name val="Arial"/>
      <family val="2"/>
    </font>
    <font>
      <sz val="11"/>
      <color rgb="FFA5BDD1"/>
      <name val="Arial"/>
      <family val="2"/>
    </font>
    <font>
      <sz val="8"/>
      <name val="Carlito"/>
    </font>
  </fonts>
  <fills count="17">
    <fill>
      <patternFill patternType="none"/>
    </fill>
    <fill>
      <patternFill patternType="gray125"/>
    </fill>
    <fill>
      <patternFill patternType="solid">
        <fgColor rgb="FF17243B"/>
      </patternFill>
    </fill>
    <fill>
      <patternFill patternType="solid">
        <fgColor rgb="FFF4F7FB"/>
      </patternFill>
    </fill>
    <fill>
      <patternFill patternType="solid">
        <fgColor rgb="FFE2E8F0"/>
      </patternFill>
    </fill>
    <fill>
      <patternFill patternType="solid">
        <fgColor rgb="FFF0F5FA"/>
      </patternFill>
    </fill>
    <fill>
      <patternFill patternType="solid">
        <fgColor rgb="FFFFFFFF"/>
      </patternFill>
    </fill>
    <fill>
      <patternFill patternType="solid">
        <fgColor rgb="FF081323"/>
      </patternFill>
    </fill>
    <fill>
      <patternFill patternType="solid">
        <fgColor rgb="FFC7FFF4"/>
      </patternFill>
    </fill>
    <fill>
      <patternFill patternType="solid">
        <fgColor rgb="FF14283E"/>
      </patternFill>
    </fill>
    <fill>
      <patternFill patternType="solid">
        <fgColor rgb="FFE93647"/>
      </patternFill>
    </fill>
    <fill>
      <patternFill patternType="solid">
        <fgColor rgb="FF081323"/>
      </patternFill>
    </fill>
    <fill>
      <patternFill patternType="solid">
        <fgColor rgb="FF10263A"/>
      </patternFill>
    </fill>
    <fill>
      <patternFill patternType="solid">
        <fgColor rgb="FF081323"/>
      </patternFill>
    </fill>
    <fill>
      <patternFill patternType="solid">
        <fgColor rgb="FFC7FFF4"/>
      </patternFill>
    </fill>
    <fill>
      <patternFill patternType="solid">
        <fgColor rgb="FF14283E"/>
      </patternFill>
    </fill>
    <fill>
      <patternFill patternType="solid">
        <fgColor rgb="FF102238"/>
      </patternFill>
    </fill>
  </fills>
  <borders count="9">
    <border>
      <left/>
      <right/>
      <top/>
      <bottom/>
      <diagonal/>
    </border>
    <border>
      <left style="thin">
        <color rgb="FF24445E"/>
      </left>
      <right/>
      <top style="thin">
        <color rgb="FF24445E"/>
      </top>
      <bottom/>
      <diagonal/>
    </border>
    <border>
      <left/>
      <right/>
      <top style="thin">
        <color rgb="FF24445E"/>
      </top>
      <bottom/>
      <diagonal/>
    </border>
    <border>
      <left/>
      <right style="thin">
        <color rgb="FF24445E"/>
      </right>
      <top style="thin">
        <color rgb="FF24445E"/>
      </top>
      <bottom/>
      <diagonal/>
    </border>
    <border>
      <left style="thin">
        <color rgb="FF24445E"/>
      </left>
      <right/>
      <top/>
      <bottom/>
      <diagonal/>
    </border>
    <border>
      <left/>
      <right style="thin">
        <color rgb="FF24445E"/>
      </right>
      <top/>
      <bottom/>
      <diagonal/>
    </border>
    <border>
      <left style="thin">
        <color rgb="FF24445E"/>
      </left>
      <right/>
      <top/>
      <bottom style="thin">
        <color rgb="FF24445E"/>
      </bottom>
      <diagonal/>
    </border>
    <border>
      <left/>
      <right/>
      <top/>
      <bottom style="thin">
        <color rgb="FF24445E"/>
      </bottom>
      <diagonal/>
    </border>
    <border>
      <left/>
      <right style="thin">
        <color rgb="FF24445E"/>
      </right>
      <top/>
      <bottom style="thin">
        <color rgb="FF24445E"/>
      </bottom>
      <diagonal/>
    </border>
  </borders>
  <cellStyleXfs count="1">
    <xf numFmtId="0" fontId="0" fillId="0" borderId="0"/>
  </cellStyleXfs>
  <cellXfs count="77">
    <xf numFmtId="0" fontId="0" fillId="0" borderId="0" xfId="0"/>
    <xf numFmtId="0" fontId="1" fillId="0" borderId="0" xfId="0" applyFont="1" applyAlignment="1">
      <alignment vertical="center"/>
    </xf>
    <xf numFmtId="0" fontId="4" fillId="2" borderId="0" xfId="0" applyFont="1" applyFill="1" applyAlignment="1">
      <alignment vertical="center" wrapText="1"/>
    </xf>
    <xf numFmtId="0" fontId="1" fillId="3" borderId="0" xfId="0" applyFont="1" applyFill="1" applyAlignment="1">
      <alignment vertical="center" wrapText="1"/>
    </xf>
    <xf numFmtId="0" fontId="1" fillId="4" borderId="0" xfId="0" applyFont="1" applyFill="1" applyAlignment="1">
      <alignment vertical="center" wrapText="1"/>
    </xf>
    <xf numFmtId="164" fontId="1" fillId="3" borderId="0" xfId="0" applyNumberFormat="1" applyFont="1" applyFill="1" applyAlignment="1">
      <alignment vertical="center" wrapText="1"/>
    </xf>
    <xf numFmtId="0" fontId="7" fillId="2" borderId="0" xfId="0" applyFont="1" applyFill="1" applyAlignment="1">
      <alignment vertical="center"/>
    </xf>
    <xf numFmtId="0" fontId="7" fillId="2" borderId="0" xfId="0" applyFont="1" applyFill="1" applyAlignment="1">
      <alignment vertical="center" wrapText="1"/>
    </xf>
    <xf numFmtId="0" fontId="1" fillId="0" borderId="0" xfId="0" applyFont="1" applyAlignment="1">
      <alignment vertical="center" wrapText="1"/>
    </xf>
    <xf numFmtId="0" fontId="9" fillId="7" borderId="0" xfId="0" applyFont="1" applyFill="1" applyAlignment="1">
      <alignment vertical="center"/>
    </xf>
    <xf numFmtId="0" fontId="9" fillId="7" borderId="0" xfId="0" applyFont="1" applyFill="1" applyAlignment="1">
      <alignment horizontal="center" vertical="center"/>
    </xf>
    <xf numFmtId="0" fontId="16" fillId="9" borderId="0" xfId="0" applyFont="1" applyFill="1" applyAlignment="1">
      <alignment horizontal="center" vertical="center"/>
    </xf>
    <xf numFmtId="0" fontId="9" fillId="11" borderId="0" xfId="0" applyFont="1" applyFill="1" applyAlignment="1">
      <alignment vertical="center"/>
    </xf>
    <xf numFmtId="0" fontId="10" fillId="11" borderId="0" xfId="0" applyFont="1" applyFill="1" applyAlignment="1">
      <alignment vertical="center" wrapText="1"/>
    </xf>
    <xf numFmtId="0" fontId="2" fillId="11" borderId="0" xfId="0" applyFont="1" applyFill="1" applyAlignment="1">
      <alignment vertical="center" wrapText="1"/>
    </xf>
    <xf numFmtId="0" fontId="3" fillId="11" borderId="0" xfId="0" applyFont="1" applyFill="1" applyAlignment="1">
      <alignment vertical="center" wrapText="1"/>
    </xf>
    <xf numFmtId="0" fontId="1" fillId="11" borderId="0" xfId="0" applyFont="1" applyFill="1" applyAlignment="1">
      <alignment vertical="center"/>
    </xf>
    <xf numFmtId="0" fontId="5" fillId="11" borderId="0" xfId="0" applyFont="1" applyFill="1" applyAlignment="1">
      <alignment vertical="center" wrapText="1"/>
    </xf>
    <xf numFmtId="0" fontId="0" fillId="12" borderId="0" xfId="0" applyFill="1"/>
    <xf numFmtId="0" fontId="19" fillId="7" borderId="0" xfId="0" applyFont="1" applyFill="1" applyAlignment="1">
      <alignment vertical="center" wrapText="1"/>
    </xf>
    <xf numFmtId="0" fontId="1" fillId="3" borderId="0" xfId="0" applyFont="1" applyFill="1" applyAlignment="1" applyProtection="1">
      <alignment vertical="top" wrapText="1"/>
      <protection locked="0"/>
    </xf>
    <xf numFmtId="164" fontId="1" fillId="3" borderId="0" xfId="0" applyNumberFormat="1" applyFont="1" applyFill="1" applyAlignment="1" applyProtection="1">
      <alignment vertical="top" wrapText="1"/>
      <protection locked="0"/>
    </xf>
    <xf numFmtId="0" fontId="0" fillId="0" borderId="0" xfId="0" applyAlignment="1">
      <alignment wrapText="1"/>
    </xf>
    <xf numFmtId="0" fontId="20" fillId="3" borderId="0" xfId="0" applyFont="1" applyFill="1" applyAlignment="1" applyProtection="1">
      <alignment vertical="top" wrapText="1"/>
      <protection locked="0"/>
    </xf>
    <xf numFmtId="0" fontId="20" fillId="3" borderId="0" xfId="0" applyFont="1" applyFill="1" applyAlignment="1">
      <alignment vertical="center" wrapText="1"/>
    </xf>
    <xf numFmtId="0" fontId="23" fillId="13" borderId="0" xfId="0" applyFont="1" applyFill="1" applyAlignment="1">
      <alignment vertical="center"/>
    </xf>
    <xf numFmtId="0" fontId="34" fillId="7" borderId="0" xfId="0" applyFont="1" applyFill="1" applyAlignment="1">
      <alignment vertical="center"/>
    </xf>
    <xf numFmtId="0" fontId="4" fillId="2" borderId="0" xfId="0" applyFont="1" applyFill="1" applyAlignment="1">
      <alignment vertical="center"/>
    </xf>
    <xf numFmtId="0" fontId="11" fillId="7" borderId="0" xfId="0" applyFont="1" applyFill="1" applyAlignment="1">
      <alignment vertical="center" wrapText="1"/>
    </xf>
    <xf numFmtId="0" fontId="30" fillId="16" borderId="0" xfId="0" applyFont="1" applyFill="1" applyAlignment="1">
      <alignment horizontal="left" vertical="center" wrapText="1"/>
    </xf>
    <xf numFmtId="0" fontId="32" fillId="13" borderId="0" xfId="0" applyFont="1" applyFill="1" applyAlignment="1">
      <alignment horizontal="left" vertical="center" wrapText="1"/>
    </xf>
    <xf numFmtId="0" fontId="0" fillId="12" borderId="0" xfId="0" applyFill="1" applyAlignment="1">
      <alignment horizontal="center"/>
    </xf>
    <xf numFmtId="0" fontId="30" fillId="15" borderId="0" xfId="0" applyFont="1" applyFill="1" applyAlignment="1">
      <alignment horizontal="left" vertical="center" wrapText="1"/>
    </xf>
    <xf numFmtId="0" fontId="32" fillId="15" borderId="0" xfId="0" applyFont="1" applyFill="1" applyAlignment="1">
      <alignment horizontal="left" vertical="center" wrapText="1"/>
    </xf>
    <xf numFmtId="0" fontId="24" fillId="13" borderId="0" xfId="0" applyFont="1" applyFill="1" applyAlignment="1">
      <alignment horizontal="left" vertical="center" wrapText="1"/>
    </xf>
    <xf numFmtId="0" fontId="27" fillId="15" borderId="0" xfId="0" applyFont="1" applyFill="1" applyAlignment="1">
      <alignment horizontal="left" vertical="center" wrapText="1"/>
    </xf>
    <xf numFmtId="0" fontId="31" fillId="15" borderId="0" xfId="0" applyFont="1" applyFill="1" applyAlignment="1">
      <alignment horizontal="left" vertical="center" wrapText="1"/>
    </xf>
    <xf numFmtId="0" fontId="28" fillId="15" borderId="0" xfId="0" applyFont="1" applyFill="1" applyAlignment="1">
      <alignment horizontal="left" vertical="center" wrapText="1"/>
    </xf>
    <xf numFmtId="0" fontId="29" fillId="13" borderId="0" xfId="0" applyFont="1" applyFill="1" applyAlignment="1">
      <alignment horizontal="left" vertical="center" wrapText="1"/>
    </xf>
    <xf numFmtId="0" fontId="21" fillId="13" borderId="0" xfId="0" applyFont="1" applyFill="1" applyAlignment="1">
      <alignment horizontal="left" vertical="center" wrapText="1"/>
    </xf>
    <xf numFmtId="0" fontId="22" fillId="14" borderId="0" xfId="0" applyFont="1" applyFill="1" applyAlignment="1">
      <alignment horizontal="left" vertical="center" wrapText="1"/>
    </xf>
    <xf numFmtId="0" fontId="25" fillId="15" borderId="0" xfId="0" applyFont="1" applyFill="1" applyAlignment="1">
      <alignment horizontal="left" vertical="center" wrapText="1"/>
    </xf>
    <xf numFmtId="0" fontId="26" fillId="15" borderId="0" xfId="0" applyFont="1" applyFill="1" applyAlignment="1">
      <alignment horizontal="left" vertical="center" wrapText="1"/>
    </xf>
    <xf numFmtId="0" fontId="33" fillId="9" borderId="0" xfId="0" applyFont="1" applyFill="1" applyAlignment="1">
      <alignment vertical="center" wrapText="1"/>
    </xf>
    <xf numFmtId="0" fontId="19" fillId="7" borderId="0" xfId="0" applyFont="1" applyFill="1" applyAlignment="1">
      <alignment vertical="center" wrapText="1"/>
    </xf>
    <xf numFmtId="0" fontId="19" fillId="7" borderId="0" xfId="0" applyFont="1" applyFill="1" applyAlignment="1">
      <alignment horizontal="center" vertical="center" wrapText="1"/>
    </xf>
    <xf numFmtId="0" fontId="12" fillId="8" borderId="0" xfId="0" applyFont="1" applyFill="1" applyAlignment="1">
      <alignment horizontal="left" vertical="center" wrapText="1"/>
    </xf>
    <xf numFmtId="0" fontId="12" fillId="8" borderId="0" xfId="0" applyFont="1" applyFill="1" applyAlignment="1">
      <alignment vertical="center" wrapText="1"/>
    </xf>
    <xf numFmtId="0" fontId="19" fillId="9" borderId="1" xfId="0" applyFont="1" applyFill="1" applyBorder="1" applyAlignment="1">
      <alignment vertical="center" wrapText="1"/>
    </xf>
    <xf numFmtId="0" fontId="19" fillId="9" borderId="2" xfId="0" applyFont="1" applyFill="1" applyBorder="1" applyAlignment="1">
      <alignment vertical="center" wrapText="1"/>
    </xf>
    <xf numFmtId="0" fontId="19" fillId="9" borderId="3" xfId="0" applyFont="1" applyFill="1" applyBorder="1" applyAlignment="1">
      <alignment vertical="center" wrapText="1"/>
    </xf>
    <xf numFmtId="0" fontId="19" fillId="9" borderId="4" xfId="0" applyFont="1" applyFill="1" applyBorder="1" applyAlignment="1">
      <alignment vertical="center" wrapText="1"/>
    </xf>
    <xf numFmtId="0" fontId="19" fillId="9" borderId="0" xfId="0" applyFont="1" applyFill="1" applyAlignment="1">
      <alignment vertical="center" wrapText="1"/>
    </xf>
    <xf numFmtId="0" fontId="19" fillId="9" borderId="5" xfId="0" applyFont="1" applyFill="1" applyBorder="1" applyAlignment="1">
      <alignment vertical="center" wrapText="1"/>
    </xf>
    <xf numFmtId="0" fontId="19" fillId="7" borderId="0" xfId="0" applyFont="1" applyFill="1" applyAlignment="1">
      <alignment horizontal="left" vertical="center" wrapText="1"/>
    </xf>
    <xf numFmtId="0" fontId="17" fillId="9" borderId="0" xfId="0" applyFont="1" applyFill="1" applyAlignment="1">
      <alignment vertical="center" wrapText="1"/>
    </xf>
    <xf numFmtId="0" fontId="17" fillId="10" borderId="0" xfId="0" applyFont="1" applyFill="1" applyAlignment="1">
      <alignment vertical="center" wrapText="1"/>
    </xf>
    <xf numFmtId="0" fontId="35" fillId="9" borderId="0" xfId="0" applyFont="1" applyFill="1" applyAlignment="1">
      <alignment vertical="center" wrapText="1"/>
    </xf>
    <xf numFmtId="0" fontId="15" fillId="7" borderId="0" xfId="0" applyFont="1" applyFill="1" applyAlignment="1">
      <alignment vertical="center" wrapText="1"/>
    </xf>
    <xf numFmtId="0" fontId="13" fillId="9" borderId="4" xfId="0" applyFont="1" applyFill="1" applyBorder="1" applyAlignment="1">
      <alignment vertical="center" wrapText="1"/>
    </xf>
    <xf numFmtId="0" fontId="13" fillId="9" borderId="0" xfId="0" applyFont="1" applyFill="1" applyAlignment="1">
      <alignment vertical="center" wrapText="1"/>
    </xf>
    <xf numFmtId="0" fontId="13" fillId="9" borderId="5" xfId="0" applyFont="1" applyFill="1" applyBorder="1" applyAlignment="1">
      <alignment vertical="center" wrapText="1"/>
    </xf>
    <xf numFmtId="0" fontId="13" fillId="9" borderId="6" xfId="0" applyFont="1" applyFill="1" applyBorder="1" applyAlignment="1">
      <alignment vertical="center" wrapText="1"/>
    </xf>
    <xf numFmtId="0" fontId="13" fillId="9" borderId="7" xfId="0" applyFont="1" applyFill="1" applyBorder="1" applyAlignment="1">
      <alignment vertical="center" wrapText="1"/>
    </xf>
    <xf numFmtId="0" fontId="13" fillId="9" borderId="8" xfId="0" applyFont="1" applyFill="1" applyBorder="1" applyAlignment="1">
      <alignment vertical="center" wrapText="1"/>
    </xf>
    <xf numFmtId="0" fontId="14" fillId="9" borderId="4" xfId="0" applyFont="1" applyFill="1" applyBorder="1" applyAlignment="1">
      <alignment vertical="center" wrapText="1"/>
    </xf>
    <xf numFmtId="0" fontId="14" fillId="9" borderId="0" xfId="0" applyFont="1" applyFill="1" applyAlignment="1">
      <alignment vertical="center" wrapText="1"/>
    </xf>
    <xf numFmtId="0" fontId="14" fillId="9" borderId="5" xfId="0" applyFont="1" applyFill="1" applyBorder="1" applyAlignment="1">
      <alignment vertical="center" wrapText="1"/>
    </xf>
    <xf numFmtId="0" fontId="14" fillId="9" borderId="6" xfId="0" applyFont="1" applyFill="1" applyBorder="1" applyAlignment="1">
      <alignment vertical="center" wrapText="1"/>
    </xf>
    <xf numFmtId="0" fontId="14" fillId="9" borderId="7" xfId="0" applyFont="1" applyFill="1" applyBorder="1" applyAlignment="1">
      <alignment vertical="center" wrapText="1"/>
    </xf>
    <xf numFmtId="0" fontId="14" fillId="9" borderId="8" xfId="0" applyFont="1" applyFill="1" applyBorder="1" applyAlignment="1">
      <alignment vertical="center" wrapText="1"/>
    </xf>
    <xf numFmtId="0" fontId="6" fillId="0" borderId="0" xfId="0" applyFont="1" applyAlignment="1">
      <alignment vertical="center" wrapText="1"/>
    </xf>
    <xf numFmtId="0" fontId="18" fillId="0" borderId="0" xfId="0" applyFont="1" applyAlignment="1">
      <alignment vertical="center" wrapText="1"/>
    </xf>
    <xf numFmtId="0" fontId="1" fillId="5" borderId="0" xfId="0" applyFont="1" applyFill="1" applyAlignment="1">
      <alignment vertical="center" wrapText="1"/>
    </xf>
    <xf numFmtId="0" fontId="6" fillId="5" borderId="0" xfId="0" applyFont="1" applyFill="1" applyAlignment="1">
      <alignment vertical="center" wrapText="1"/>
    </xf>
    <xf numFmtId="0" fontId="8" fillId="0" borderId="0" xfId="0" applyFont="1" applyAlignment="1">
      <alignment vertical="center" wrapText="1"/>
    </xf>
    <xf numFmtId="0" fontId="6" fillId="6" borderId="0" xfId="0" applyFont="1" applyFill="1" applyAlignment="1">
      <alignment vertical="center" wrapText="1"/>
    </xf>
  </cellXfs>
  <cellStyles count="1">
    <cellStyle name="Normal" xfId="0" builtinId="0"/>
  </cellStyles>
  <dxfs count="41">
    <dxf>
      <font>
        <color rgb="FF991B1B"/>
      </font>
      <fill>
        <patternFill>
          <bgColor rgb="FFFCA5A5"/>
        </patternFill>
      </fill>
    </dxf>
    <dxf>
      <font>
        <color rgb="FF166534"/>
      </font>
      <fill>
        <patternFill>
          <bgColor rgb="FFDCFCE7"/>
        </patternFill>
      </fill>
    </dxf>
    <dxf>
      <font>
        <color rgb="FF854D0E"/>
      </font>
      <fill>
        <patternFill>
          <bgColor rgb="FFFEF08A"/>
        </patternFill>
      </fill>
    </dxf>
    <dxf>
      <font>
        <b/>
        <color rgb="FF991B1B"/>
      </font>
      <fill>
        <patternFill>
          <bgColor rgb="FFFCA5A5"/>
        </patternFill>
      </fill>
    </dxf>
    <dxf>
      <font>
        <color rgb="FF991B1B"/>
      </font>
      <fill>
        <patternFill>
          <bgColor rgb="FFFCA5A5"/>
        </patternFill>
      </fill>
    </dxf>
    <dxf>
      <font>
        <color rgb="FF166534"/>
      </font>
      <fill>
        <patternFill>
          <bgColor rgb="FFDCFCE7"/>
        </patternFill>
      </fill>
    </dxf>
    <dxf>
      <font>
        <color rgb="FF854D0E"/>
      </font>
      <fill>
        <patternFill>
          <bgColor rgb="FFFEF08A"/>
        </patternFill>
      </fill>
    </dxf>
    <dxf>
      <font>
        <b/>
        <color rgb="FF991B1B"/>
      </font>
      <fill>
        <patternFill>
          <bgColor rgb="FFFCA5A5"/>
        </patternFill>
      </fill>
    </dxf>
    <dxf>
      <font>
        <color rgb="FF991B1B"/>
      </font>
      <fill>
        <patternFill>
          <bgColor rgb="FFFCA5A5"/>
        </patternFill>
      </fill>
    </dxf>
    <dxf>
      <font>
        <color rgb="FF166534"/>
      </font>
      <fill>
        <patternFill>
          <bgColor rgb="FFDCFCE7"/>
        </patternFill>
      </fill>
    </dxf>
    <dxf>
      <font>
        <color rgb="FF854D0E"/>
      </font>
      <fill>
        <patternFill>
          <bgColor rgb="FFFEF08A"/>
        </patternFill>
      </fill>
    </dxf>
    <dxf>
      <font>
        <b/>
        <color rgb="FF475569"/>
      </font>
      <fill>
        <patternFill>
          <bgColor rgb="FFE2E8F0"/>
        </patternFill>
      </fill>
    </dxf>
    <dxf>
      <font>
        <b/>
        <color rgb="FF991B1B"/>
      </font>
      <fill>
        <patternFill>
          <bgColor rgb="FFFCA5A5"/>
        </patternFill>
      </fill>
    </dxf>
    <dxf>
      <font>
        <b/>
        <color rgb="FF854D0E"/>
      </font>
      <fill>
        <patternFill>
          <bgColor rgb="FFFEF08A"/>
        </patternFill>
      </fill>
    </dxf>
    <dxf>
      <font>
        <b/>
        <color rgb="FF166534"/>
      </font>
      <fill>
        <patternFill>
          <bgColor rgb="FFDCFCE7"/>
        </patternFill>
      </fill>
    </dxf>
    <dxf>
      <font>
        <b/>
        <color rgb="FF991B1B"/>
      </font>
      <fill>
        <patternFill>
          <bgColor rgb="FFFCA5A5"/>
        </patternFill>
      </fill>
    </dxf>
    <dxf>
      <font>
        <b/>
        <color rgb="FFFFFFFF"/>
      </font>
      <fill>
        <patternFill>
          <bgColor rgb="FF991B1B"/>
        </patternFill>
      </fill>
    </dxf>
    <dxf>
      <font>
        <b/>
        <color rgb="FF991B1B"/>
      </font>
      <fill>
        <patternFill>
          <bgColor rgb="FFFCA5A5"/>
        </patternFill>
      </fill>
    </dxf>
    <dxf>
      <font>
        <b/>
        <color rgb="FF854D0E"/>
      </font>
      <fill>
        <patternFill>
          <bgColor rgb="FFFEF08A"/>
        </patternFill>
      </fill>
    </dxf>
    <dxf>
      <font>
        <b/>
        <color rgb="FF166534"/>
      </font>
      <fill>
        <patternFill>
          <bgColor rgb="FFDCFCE7"/>
        </patternFill>
      </fill>
    </dxf>
    <dxf>
      <font>
        <color rgb="FF991B1B"/>
      </font>
      <fill>
        <patternFill>
          <bgColor rgb="FFFCA5A5"/>
        </patternFill>
      </fill>
    </dxf>
    <dxf>
      <font>
        <color rgb="FF166534"/>
      </font>
      <fill>
        <patternFill>
          <bgColor rgb="FFDCFCE7"/>
        </patternFill>
      </fill>
    </dxf>
    <dxf>
      <font>
        <color rgb="FF854D0E"/>
      </font>
      <fill>
        <patternFill>
          <bgColor rgb="FFFEF08A"/>
        </patternFill>
      </fill>
    </dxf>
    <dxf>
      <font>
        <b/>
        <color rgb="FFFFFFFF"/>
      </font>
      <fill>
        <patternFill>
          <bgColor rgb="FF991B1B"/>
        </patternFill>
      </fill>
    </dxf>
    <dxf>
      <font>
        <b/>
        <color rgb="FF991B1B"/>
      </font>
      <fill>
        <patternFill>
          <bgColor rgb="FFFCA5A5"/>
        </patternFill>
      </fill>
    </dxf>
    <dxf>
      <font>
        <b/>
        <color rgb="FF854D0E"/>
      </font>
      <fill>
        <patternFill>
          <bgColor rgb="FFFEF08A"/>
        </patternFill>
      </fill>
    </dxf>
    <dxf>
      <font>
        <b/>
        <color rgb="FF166534"/>
      </font>
      <fill>
        <patternFill>
          <bgColor rgb="FFDCFCE7"/>
        </patternFill>
      </fill>
    </dxf>
    <dxf>
      <font>
        <b/>
        <color rgb="FF991B1B"/>
      </font>
      <fill>
        <patternFill>
          <bgColor rgb="FFFCA5A5"/>
        </patternFill>
      </fill>
    </dxf>
    <dxf>
      <font>
        <color rgb="FFEAF6FF"/>
      </font>
      <fill>
        <patternFill>
          <bgColor rgb="FF821B31"/>
        </patternFill>
      </fill>
    </dxf>
    <dxf>
      <font>
        <color rgb="FFEAF6FF"/>
      </font>
      <fill>
        <patternFill>
          <bgColor rgb="FFE93647"/>
        </patternFill>
      </fill>
    </dxf>
    <dxf>
      <font>
        <color rgb="FF583800"/>
      </font>
      <fill>
        <patternFill>
          <bgColor rgb="FFFFE15C"/>
        </patternFill>
      </fill>
    </dxf>
    <dxf>
      <font>
        <color rgb="FFEAF6FF"/>
      </font>
      <fill>
        <patternFill>
          <bgColor rgb="FF167D52"/>
        </patternFill>
      </fill>
    </dxf>
    <dxf>
      <font>
        <color rgb="FFEAF6FF"/>
      </font>
      <fill>
        <patternFill>
          <bgColor rgb="FF821B31"/>
        </patternFill>
      </fill>
    </dxf>
    <dxf>
      <font>
        <color rgb="FFEAF6FF"/>
      </font>
      <fill>
        <patternFill>
          <bgColor rgb="FFE93647"/>
        </patternFill>
      </fill>
    </dxf>
    <dxf>
      <font>
        <color rgb="FF583800"/>
      </font>
      <fill>
        <patternFill>
          <bgColor rgb="FFFFE15C"/>
        </patternFill>
      </fill>
    </dxf>
    <dxf>
      <font>
        <color rgb="FFEAF6FF"/>
      </font>
      <fill>
        <patternFill>
          <bgColor rgb="FF167D52"/>
        </patternFill>
      </fill>
    </dxf>
    <dxf>
      <font>
        <color rgb="FFFFFFFF"/>
      </font>
      <fill>
        <patternFill>
          <bgColor rgb="FF7F1D1D"/>
        </patternFill>
      </fill>
    </dxf>
    <dxf>
      <font>
        <color rgb="FFFFFFFF"/>
      </font>
      <fill>
        <patternFill>
          <bgColor rgb="FFDC2626"/>
        </patternFill>
      </fill>
    </dxf>
    <dxf>
      <font>
        <color rgb="FF713F12"/>
      </font>
      <fill>
        <patternFill>
          <bgColor rgb="FFFDE047"/>
        </patternFill>
      </fill>
    </dxf>
    <dxf>
      <font>
        <color rgb="FFFFFFFF"/>
      </font>
      <fill>
        <patternFill>
          <bgColor rgb="FF166534"/>
        </patternFill>
      </fill>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75">
                <a:latin typeface="Arial"/>
                <a:ea typeface="Arial"/>
                <a:cs typeface="Arial"/>
              </a:rPr>
              <a:t>Inherent risk distribution — filtered risks</a:t>
            </a:r>
          </a:p>
        </c:rich>
      </c:tx>
      <c:overlay val="0"/>
    </c:title>
    <c:autoTitleDeleted val="0"/>
    <c:plotArea>
      <c:layout/>
      <c:barChart>
        <c:barDir val="col"/>
        <c:grouping val="clustered"/>
        <c:varyColors val="0"/>
        <c:ser>
          <c:idx val="0"/>
          <c:order val="0"/>
          <c:tx>
            <c:v>Risks</c:v>
          </c:tx>
          <c:spPr>
            <a:solidFill>
              <a:srgbClr val="F04452"/>
            </a:solidFill>
          </c:spPr>
          <c:invertIfNegative val="0"/>
          <c:cat>
            <c:strRef>
              <c:f>Dashboard!$AE$3:$AE$6</c:f>
              <c:strCache>
                <c:ptCount val="4"/>
                <c:pt idx="0">
                  <c:v>Low</c:v>
                </c:pt>
                <c:pt idx="1">
                  <c:v>Moderate</c:v>
                </c:pt>
                <c:pt idx="2">
                  <c:v>High</c:v>
                </c:pt>
                <c:pt idx="3">
                  <c:v>Critical</c:v>
                </c:pt>
              </c:strCache>
            </c:strRef>
          </c:cat>
          <c:val>
            <c:numRef>
              <c:f>Dashboard!$AF$3:$AF$6</c:f>
              <c:numCache>
                <c:formatCode>General</c:formatCode>
                <c:ptCount val="4"/>
                <c:pt idx="0">
                  <c:v>0</c:v>
                </c:pt>
                <c:pt idx="1">
                  <c:v>0</c:v>
                </c:pt>
                <c:pt idx="2">
                  <c:v>4</c:v>
                </c:pt>
                <c:pt idx="3">
                  <c:v>0</c:v>
                </c:pt>
              </c:numCache>
            </c:numRef>
          </c:val>
          <c:extLst>
            <c:ext xmlns:c16="http://schemas.microsoft.com/office/drawing/2014/chart" uri="{C3380CC4-5D6E-409C-BE32-E72D297353CC}">
              <c16:uniqueId val="{00000000-9115-4590-8E20-505A5579E77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82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825">
                <a:latin typeface="Arial"/>
                <a:ea typeface="Arial"/>
                <a:cs typeface="Arial"/>
              </a:defRPr>
            </a:pPr>
            <a:endParaRPr lang="en-US"/>
          </a:p>
        </c:txPr>
        <c:crossAx val="48650112"/>
        <c:crosses val="autoZero"/>
        <c:crossBetween val="between"/>
        <c:majorUnit val="1"/>
      </c:valAx>
    </c:plotArea>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75">
                <a:latin typeface="Arial"/>
                <a:ea typeface="Arial"/>
                <a:cs typeface="Arial"/>
              </a:rPr>
              <a:t>Evidence requests — all records</a:t>
            </a:r>
          </a:p>
        </c:rich>
      </c:tx>
      <c:overlay val="0"/>
    </c:title>
    <c:autoTitleDeleted val="0"/>
    <c:plotArea>
      <c:layout/>
      <c:barChart>
        <c:barDir val="col"/>
        <c:grouping val="clustered"/>
        <c:varyColors val="0"/>
        <c:ser>
          <c:idx val="0"/>
          <c:order val="0"/>
          <c:tx>
            <c:v>Requests</c:v>
          </c:tx>
          <c:spPr>
            <a:solidFill>
              <a:srgbClr val="0CBAB0"/>
            </a:solidFill>
          </c:spPr>
          <c:invertIfNegative val="0"/>
          <c:cat>
            <c:strRef>
              <c:f>Dashboard!$AE$10:$AE$14</c:f>
              <c:strCache>
                <c:ptCount val="5"/>
                <c:pt idx="0">
                  <c:v>Planned</c:v>
                </c:pt>
                <c:pt idx="1">
                  <c:v>Requested</c:v>
                </c:pt>
                <c:pt idx="2">
                  <c:v>Received</c:v>
                </c:pt>
                <c:pt idx="3">
                  <c:v>In review</c:v>
                </c:pt>
                <c:pt idx="4">
                  <c:v>Reviewed</c:v>
                </c:pt>
              </c:strCache>
            </c:strRef>
          </c:cat>
          <c:val>
            <c:numRef>
              <c:f>Dashboard!$AF$10:$AF$14</c:f>
              <c:numCache>
                <c:formatCode>General</c:formatCode>
                <c:ptCount val="5"/>
                <c:pt idx="0">
                  <c:v>4</c:v>
                </c:pt>
                <c:pt idx="1">
                  <c:v>0</c:v>
                </c:pt>
                <c:pt idx="2">
                  <c:v>0</c:v>
                </c:pt>
                <c:pt idx="3">
                  <c:v>0</c:v>
                </c:pt>
                <c:pt idx="4">
                  <c:v>0</c:v>
                </c:pt>
              </c:numCache>
            </c:numRef>
          </c:val>
          <c:extLst>
            <c:ext xmlns:c16="http://schemas.microsoft.com/office/drawing/2014/chart" uri="{C3380CC4-5D6E-409C-BE32-E72D297353CC}">
              <c16:uniqueId val="{00000000-A2B3-405B-8B4D-1FF1DD4ABC7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82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825">
                <a:latin typeface="Arial"/>
                <a:ea typeface="Arial"/>
                <a:cs typeface="Arial"/>
              </a:defRPr>
            </a:pPr>
            <a:endParaRPr lang="en-US"/>
          </a:p>
        </c:txPr>
        <c:crossAx val="48650112"/>
        <c:crosses val="autoZero"/>
        <c:crossBetween val="between"/>
        <c:majorUnit val="1"/>
      </c:valAx>
    </c:plotArea>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hyperlink" Target="#'Scoring Methodology'!A1"/><Relationship Id="rId3" Type="http://schemas.openxmlformats.org/officeDocument/2006/relationships/hyperlink" Target="#'Dashboard'!A1"/><Relationship Id="rId7" Type="http://schemas.openxmlformats.org/officeDocument/2006/relationships/hyperlink" Target="#'Remediation Tracker'!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Evidence Tracker'!A1"/><Relationship Id="rId5" Type="http://schemas.openxmlformats.org/officeDocument/2006/relationships/hyperlink" Target="#'Control Assessment'!A1"/><Relationship Id="rId10" Type="http://schemas.openxmlformats.org/officeDocument/2006/relationships/image" Target="../media/image1.png"/><Relationship Id="rId4" Type="http://schemas.openxmlformats.org/officeDocument/2006/relationships/hyperlink" Target="#'Risk Register'!A1"/><Relationship Id="rId9" Type="http://schemas.openxmlformats.org/officeDocument/2006/relationships/hyperlink" Target="#'Instructions'!A1"/></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Control Assessment'!A1"/><Relationship Id="rId7" Type="http://schemas.openxmlformats.org/officeDocument/2006/relationships/hyperlink" Target="#'Instructions'!A1"/><Relationship Id="rId2" Type="http://schemas.openxmlformats.org/officeDocument/2006/relationships/hyperlink" Target="#'Risk Register'!A1"/><Relationship Id="rId1" Type="http://schemas.openxmlformats.org/officeDocument/2006/relationships/hyperlink" Target="#'Dashboard'!A1"/><Relationship Id="rId6" Type="http://schemas.openxmlformats.org/officeDocument/2006/relationships/hyperlink" Target="#'Scoring Methodology'!A1"/><Relationship Id="rId5" Type="http://schemas.openxmlformats.org/officeDocument/2006/relationships/hyperlink" Target="#'Remediation Tracker'!A1"/><Relationship Id="rId4" Type="http://schemas.openxmlformats.org/officeDocument/2006/relationships/hyperlink" Target="#'Evidence Tracker'!A1"/></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Control Assessment'!A1"/><Relationship Id="rId7" Type="http://schemas.openxmlformats.org/officeDocument/2006/relationships/hyperlink" Target="#'Instructions'!A1"/><Relationship Id="rId2" Type="http://schemas.openxmlformats.org/officeDocument/2006/relationships/hyperlink" Target="#'Risk Register'!A1"/><Relationship Id="rId1" Type="http://schemas.openxmlformats.org/officeDocument/2006/relationships/hyperlink" Target="#'Dashboard'!A1"/><Relationship Id="rId6" Type="http://schemas.openxmlformats.org/officeDocument/2006/relationships/hyperlink" Target="#'Scoring Methodology'!A1"/><Relationship Id="rId5" Type="http://schemas.openxmlformats.org/officeDocument/2006/relationships/hyperlink" Target="#'Remediation Tracker'!A1"/><Relationship Id="rId4" Type="http://schemas.openxmlformats.org/officeDocument/2006/relationships/hyperlink" Target="#'Evidence Tracker'!A1"/></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Control Assessment'!A1"/><Relationship Id="rId7" Type="http://schemas.openxmlformats.org/officeDocument/2006/relationships/hyperlink" Target="#'Instructions'!A1"/><Relationship Id="rId2" Type="http://schemas.openxmlformats.org/officeDocument/2006/relationships/hyperlink" Target="#'Risk Register'!A1"/><Relationship Id="rId1" Type="http://schemas.openxmlformats.org/officeDocument/2006/relationships/hyperlink" Target="#'Dashboard'!A1"/><Relationship Id="rId6" Type="http://schemas.openxmlformats.org/officeDocument/2006/relationships/hyperlink" Target="#'Scoring Methodology'!A1"/><Relationship Id="rId5" Type="http://schemas.openxmlformats.org/officeDocument/2006/relationships/hyperlink" Target="#'Remediation Tracker'!A1"/><Relationship Id="rId4" Type="http://schemas.openxmlformats.org/officeDocument/2006/relationships/hyperlink" Target="#'Evidence Tracker'!A1"/></Relationships>
</file>

<file path=xl/drawings/_rels/drawing5.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Control Assessment'!A1"/><Relationship Id="rId7" Type="http://schemas.openxmlformats.org/officeDocument/2006/relationships/hyperlink" Target="#'Instructions'!A1"/><Relationship Id="rId2" Type="http://schemas.openxmlformats.org/officeDocument/2006/relationships/hyperlink" Target="#'Risk Register'!A1"/><Relationship Id="rId1" Type="http://schemas.openxmlformats.org/officeDocument/2006/relationships/hyperlink" Target="#'Dashboard'!A1"/><Relationship Id="rId6" Type="http://schemas.openxmlformats.org/officeDocument/2006/relationships/hyperlink" Target="#'Scoring Methodology'!A1"/><Relationship Id="rId5" Type="http://schemas.openxmlformats.org/officeDocument/2006/relationships/hyperlink" Target="#'Remediation Tracker'!A1"/><Relationship Id="rId4" Type="http://schemas.openxmlformats.org/officeDocument/2006/relationships/hyperlink" Target="#'Evidence Tracker'!A1"/></Relationships>
</file>

<file path=xl/drawings/_rels/drawing6.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Control Assessment'!A1"/><Relationship Id="rId7" Type="http://schemas.openxmlformats.org/officeDocument/2006/relationships/hyperlink" Target="#'Instructions'!A1"/><Relationship Id="rId2" Type="http://schemas.openxmlformats.org/officeDocument/2006/relationships/hyperlink" Target="#'Risk Register'!A1"/><Relationship Id="rId1" Type="http://schemas.openxmlformats.org/officeDocument/2006/relationships/hyperlink" Target="#'Dashboard'!A1"/><Relationship Id="rId6" Type="http://schemas.openxmlformats.org/officeDocument/2006/relationships/hyperlink" Target="#'Scoring Methodology'!A1"/><Relationship Id="rId5" Type="http://schemas.openxmlformats.org/officeDocument/2006/relationships/hyperlink" Target="#'Remediation Tracker'!A1"/><Relationship Id="rId4" Type="http://schemas.openxmlformats.org/officeDocument/2006/relationships/hyperlink" Target="#'Evidence Tracker'!A1"/></Relationships>
</file>

<file path=xl/drawings/_rels/drawing7.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Control Assessment'!A1"/><Relationship Id="rId7" Type="http://schemas.openxmlformats.org/officeDocument/2006/relationships/hyperlink" Target="#'Instructions'!A1"/><Relationship Id="rId2" Type="http://schemas.openxmlformats.org/officeDocument/2006/relationships/hyperlink" Target="#'Risk Register'!A1"/><Relationship Id="rId1" Type="http://schemas.openxmlformats.org/officeDocument/2006/relationships/hyperlink" Target="#'Dashboard'!A1"/><Relationship Id="rId6" Type="http://schemas.openxmlformats.org/officeDocument/2006/relationships/hyperlink" Target="#'Scoring Methodology'!A1"/><Relationship Id="rId5" Type="http://schemas.openxmlformats.org/officeDocument/2006/relationships/hyperlink" Target="#'Remediation Tracker'!A1"/><Relationship Id="rId4" Type="http://schemas.openxmlformats.org/officeDocument/2006/relationships/hyperlink" Target="#'Evidence Tracker'!A1"/></Relationships>
</file>

<file path=xl/drawings/drawing1.xml><?xml version="1.0" encoding="utf-8"?>
<xdr:wsDr xmlns:xdr="http://schemas.openxmlformats.org/drawingml/2006/spreadsheetDrawing" xmlns:a="http://schemas.openxmlformats.org/drawingml/2006/main">
  <xdr:twoCellAnchor>
    <xdr:from>
      <xdr:col>5</xdr:col>
      <xdr:colOff>0</xdr:colOff>
      <xdr:row>15</xdr:row>
      <xdr:rowOff>0</xdr:rowOff>
    </xdr:from>
    <xdr:to>
      <xdr:col>16</xdr:col>
      <xdr:colOff>0</xdr:colOff>
      <xdr:row>27</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30</xdr:row>
      <xdr:rowOff>0</xdr:rowOff>
    </xdr:from>
    <xdr:to>
      <xdr:col>16</xdr:col>
      <xdr:colOff>0</xdr:colOff>
      <xdr:row>41</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546100</xdr:colOff>
      <xdr:row>0</xdr:row>
      <xdr:rowOff>66675</xdr:rowOff>
    </xdr:from>
    <xdr:to>
      <xdr:col>27</xdr:col>
      <xdr:colOff>527050</xdr:colOff>
      <xdr:row>1</xdr:row>
      <xdr:rowOff>314325</xdr:rowOff>
    </xdr:to>
    <xdr:sp macro="" textlink="">
      <xdr:nvSpPr>
        <xdr:cNvPr id="4" name="TITLE|Sentinel Defense Solutions">
          <a:extLst>
            <a:ext uri="{FF2B5EF4-FFF2-40B4-BE49-F238E27FC236}">
              <a16:creationId xmlns:a16="http://schemas.microsoft.com/office/drawing/2014/main" id="{00000000-0008-0000-0000-000004000000}"/>
            </a:ext>
          </a:extLst>
        </xdr:cNvPr>
        <xdr:cNvSpPr>
          <a:spLocks noGrp="1"/>
        </xdr:cNvSpPr>
      </xdr:nvSpPr>
      <xdr:spPr>
        <a:xfrm>
          <a:off x="2222500" y="66675"/>
          <a:ext cx="12801600" cy="609600"/>
        </a:xfrm>
        <a:prstGeom prst="rect">
          <a:avLst/>
        </a:prstGeom>
        <a:solidFill>
          <a:srgbClr val="081323"/>
        </a:solidFill>
        <a:ln w="0">
          <a:solidFill>
            <a:srgbClr val="081323"/>
          </a:solidFill>
        </a:ln>
      </xdr:spPr>
      <xdr:txBody>
        <a:bodyPr wrap="square" lIns="0" tIns="0" rIns="0" bIns="0" anchor="ctr"/>
        <a:lstStyle/>
        <a:p>
          <a:pPr algn="ctr"/>
          <a:r>
            <a:rPr lang="en-US" sz="3200" b="1">
              <a:solidFill>
                <a:srgbClr val="EAF6FF"/>
              </a:solidFill>
              <a:latin typeface="Arial"/>
            </a:rPr>
            <a:t>Sentinel Defense Solutions</a:t>
          </a:r>
        </a:p>
      </xdr:txBody>
    </xdr:sp>
    <xdr:clientData/>
  </xdr:twoCellAnchor>
  <xdr:oneCellAnchor>
    <xdr:from>
      <xdr:col>0</xdr:col>
      <xdr:colOff>76200</xdr:colOff>
      <xdr:row>3</xdr:row>
      <xdr:rowOff>19050</xdr:rowOff>
    </xdr:from>
    <xdr:ext cx="1981200" cy="381000"/>
    <xdr:sp macro="" textlink="">
      <xdr:nvSpPr>
        <xdr:cNvPr id="5" name="BRAND|CYBERSECURITY&#10;GRC PORTFOLIO">
          <a:extLst>
            <a:ext uri="{FF2B5EF4-FFF2-40B4-BE49-F238E27FC236}">
              <a16:creationId xmlns:a16="http://schemas.microsoft.com/office/drawing/2014/main" id="{00000000-0008-0000-0000-000005000000}"/>
            </a:ext>
          </a:extLst>
        </xdr:cNvPr>
        <xdr:cNvSpPr>
          <a:spLocks noGrp="1"/>
        </xdr:cNvSpPr>
      </xdr:nvSpPr>
      <xdr:spPr>
        <a:xfrm>
          <a:off x="76200" y="933450"/>
          <a:ext cx="1981200" cy="381000"/>
        </a:xfrm>
        <a:prstGeom prst="rect">
          <a:avLst/>
        </a:prstGeom>
        <a:solidFill>
          <a:srgbClr val="10263A"/>
        </a:solidFill>
        <a:ln w="0">
          <a:solidFill>
            <a:srgbClr val="10263A"/>
          </a:solidFill>
        </a:ln>
      </xdr:spPr>
      <xdr:txBody>
        <a:bodyPr wrap="square" lIns="0" tIns="0" rIns="0" bIns="0" anchor="ctr"/>
        <a:lstStyle/>
        <a:p>
          <a:pPr algn="ctr"/>
          <a:r>
            <a:rPr lang="en-US" sz="1100" b="1">
              <a:solidFill>
                <a:srgbClr val="FFFFFF"/>
              </a:solidFill>
              <a:latin typeface="Arial"/>
            </a:rPr>
            <a:t>CYBERSECURITY</a:t>
          </a:r>
        </a:p>
        <a:p>
          <a:pPr algn="ctr"/>
          <a:r>
            <a:rPr lang="en-US" sz="1100" b="1">
              <a:solidFill>
                <a:srgbClr val="FFFFFF"/>
              </a:solidFill>
              <a:latin typeface="Arial"/>
            </a:rPr>
            <a:t>GRC PORTFOLIO</a:t>
          </a:r>
        </a:p>
      </xdr:txBody>
    </xdr:sp>
    <xdr:clientData/>
  </xdr:oneCellAnchor>
  <xdr:oneCellAnchor>
    <xdr:from>
      <xdr:col>0</xdr:col>
      <xdr:colOff>133350</xdr:colOff>
      <xdr:row>6</xdr:row>
      <xdr:rowOff>19050</xdr:rowOff>
    </xdr:from>
    <xdr:ext cx="1866900" cy="457200"/>
    <xdr:sp macro="" textlink="">
      <xdr:nvSpPr>
        <xdr:cNvPr id="6" name="NAV|Dashboard|01  Dashboard" descr="Dashboard navigation: Dashboard (current page)">
          <a:hlinkClick xmlns:r="http://schemas.openxmlformats.org/officeDocument/2006/relationships" r:id="rId3" tooltip="Open Dashboard"/>
          <a:extLst>
            <a:ext uri="{FF2B5EF4-FFF2-40B4-BE49-F238E27FC236}">
              <a16:creationId xmlns:a16="http://schemas.microsoft.com/office/drawing/2014/main" id="{00000000-0008-0000-0000-000006000000}"/>
            </a:ext>
          </a:extLst>
        </xdr:cNvPr>
        <xdr:cNvSpPr>
          <a:spLocks noGrp="1"/>
        </xdr:cNvSpPr>
      </xdr:nvSpPr>
      <xdr:spPr>
        <a:xfrm>
          <a:off x="133350" y="1657350"/>
          <a:ext cx="1866900" cy="457200"/>
        </a:xfrm>
        <a:prstGeom prst="roundRect">
          <a:avLst/>
        </a:prstGeom>
        <a:solidFill>
          <a:srgbClr val="35E1D1"/>
        </a:solidFill>
        <a:ln w="9525">
          <a:solidFill>
            <a:srgbClr val="35E1D1"/>
          </a:solidFill>
        </a:ln>
      </xdr:spPr>
      <xdr:txBody>
        <a:bodyPr wrap="square" lIns="0" tIns="0" rIns="0" bIns="0" anchor="ctr"/>
        <a:lstStyle/>
        <a:p>
          <a:pPr algn="ctr"/>
          <a:r>
            <a:rPr lang="en-US" sz="1100" b="1">
              <a:solidFill>
                <a:srgbClr val="081323"/>
              </a:solidFill>
              <a:latin typeface="Arial"/>
            </a:rPr>
            <a:t>01  Dashboard</a:t>
          </a:r>
        </a:p>
      </xdr:txBody>
    </xdr:sp>
    <xdr:clientData/>
  </xdr:oneCellAnchor>
  <xdr:twoCellAnchor editAs="absolute">
    <xdr:from>
      <xdr:col>0</xdr:col>
      <xdr:colOff>133350</xdr:colOff>
      <xdr:row>8</xdr:row>
      <xdr:rowOff>114300</xdr:rowOff>
    </xdr:from>
    <xdr:to>
      <xdr:col>3</xdr:col>
      <xdr:colOff>323850</xdr:colOff>
      <xdr:row>10</xdr:row>
      <xdr:rowOff>38100</xdr:rowOff>
    </xdr:to>
    <xdr:sp macro="" textlink="">
      <xdr:nvSpPr>
        <xdr:cNvPr id="7" name="NAV|Risk Register|02  Risk register" descr="Dashboard navigation: Risk Register">
          <a:hlinkClick xmlns:r="http://schemas.openxmlformats.org/officeDocument/2006/relationships" r:id="rId4" tooltip="Open Risk Register"/>
          <a:extLst>
            <a:ext uri="{FF2B5EF4-FFF2-40B4-BE49-F238E27FC236}">
              <a16:creationId xmlns:a16="http://schemas.microsoft.com/office/drawing/2014/main" id="{00000000-0008-0000-0000-000007000000}"/>
            </a:ext>
          </a:extLst>
        </xdr:cNvPr>
        <xdr:cNvSpPr>
          <a:spLocks noGrp="1"/>
        </xdr:cNvSpPr>
      </xdr:nvSpPr>
      <xdr:spPr>
        <a:xfrm>
          <a:off x="133350" y="2286000"/>
          <a:ext cx="184785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02  Risk register</a:t>
          </a:r>
        </a:p>
      </xdr:txBody>
    </xdr:sp>
    <xdr:clientData/>
  </xdr:twoCellAnchor>
  <xdr:twoCellAnchor editAs="absolute">
    <xdr:from>
      <xdr:col>0</xdr:col>
      <xdr:colOff>133350</xdr:colOff>
      <xdr:row>10</xdr:row>
      <xdr:rowOff>209550</xdr:rowOff>
    </xdr:from>
    <xdr:to>
      <xdr:col>3</xdr:col>
      <xdr:colOff>323850</xdr:colOff>
      <xdr:row>12</xdr:row>
      <xdr:rowOff>133350</xdr:rowOff>
    </xdr:to>
    <xdr:sp macro="" textlink="">
      <xdr:nvSpPr>
        <xdr:cNvPr id="8" name="NAV|Control Assessment|03  Controls" descr="Dashboard navigation: Control Assessment">
          <a:hlinkClick xmlns:r="http://schemas.openxmlformats.org/officeDocument/2006/relationships" r:id="rId5" tooltip="Open Control Assessment"/>
          <a:extLst>
            <a:ext uri="{FF2B5EF4-FFF2-40B4-BE49-F238E27FC236}">
              <a16:creationId xmlns:a16="http://schemas.microsoft.com/office/drawing/2014/main" id="{00000000-0008-0000-0000-000008000000}"/>
            </a:ext>
          </a:extLst>
        </xdr:cNvPr>
        <xdr:cNvSpPr>
          <a:spLocks noGrp="1"/>
        </xdr:cNvSpPr>
      </xdr:nvSpPr>
      <xdr:spPr>
        <a:xfrm>
          <a:off x="133350" y="2914650"/>
          <a:ext cx="184785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03  Controls</a:t>
          </a:r>
        </a:p>
      </xdr:txBody>
    </xdr:sp>
    <xdr:clientData/>
  </xdr:twoCellAnchor>
  <xdr:twoCellAnchor editAs="absolute">
    <xdr:from>
      <xdr:col>0</xdr:col>
      <xdr:colOff>133350</xdr:colOff>
      <xdr:row>13</xdr:row>
      <xdr:rowOff>38100</xdr:rowOff>
    </xdr:from>
    <xdr:to>
      <xdr:col>3</xdr:col>
      <xdr:colOff>323850</xdr:colOff>
      <xdr:row>14</xdr:row>
      <xdr:rowOff>228600</xdr:rowOff>
    </xdr:to>
    <xdr:sp macro="" textlink="">
      <xdr:nvSpPr>
        <xdr:cNvPr id="9" name="NAV|Evidence Tracker|04  Evidence" descr="Dashboard navigation: Evidence Tracker">
          <a:hlinkClick xmlns:r="http://schemas.openxmlformats.org/officeDocument/2006/relationships" r:id="rId6" tooltip="Open Evidence Tracker"/>
          <a:extLst>
            <a:ext uri="{FF2B5EF4-FFF2-40B4-BE49-F238E27FC236}">
              <a16:creationId xmlns:a16="http://schemas.microsoft.com/office/drawing/2014/main" id="{00000000-0008-0000-0000-000009000000}"/>
            </a:ext>
          </a:extLst>
        </xdr:cNvPr>
        <xdr:cNvSpPr>
          <a:spLocks noGrp="1"/>
        </xdr:cNvSpPr>
      </xdr:nvSpPr>
      <xdr:spPr>
        <a:xfrm>
          <a:off x="133350" y="3543300"/>
          <a:ext cx="184785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04  Evidence</a:t>
          </a:r>
        </a:p>
      </xdr:txBody>
    </xdr:sp>
    <xdr:clientData/>
  </xdr:twoCellAnchor>
  <xdr:twoCellAnchor editAs="absolute">
    <xdr:from>
      <xdr:col>0</xdr:col>
      <xdr:colOff>133350</xdr:colOff>
      <xdr:row>15</xdr:row>
      <xdr:rowOff>133350</xdr:rowOff>
    </xdr:from>
    <xdr:to>
      <xdr:col>3</xdr:col>
      <xdr:colOff>323850</xdr:colOff>
      <xdr:row>17</xdr:row>
      <xdr:rowOff>57150</xdr:rowOff>
    </xdr:to>
    <xdr:sp macro="" textlink="">
      <xdr:nvSpPr>
        <xdr:cNvPr id="10" name="NAV|Remediation Tracker|05  Remediation" descr="Dashboard navigation: Remediation Tracker">
          <a:hlinkClick xmlns:r="http://schemas.openxmlformats.org/officeDocument/2006/relationships" r:id="rId7" tooltip="Open Remediation Tracker"/>
          <a:extLst>
            <a:ext uri="{FF2B5EF4-FFF2-40B4-BE49-F238E27FC236}">
              <a16:creationId xmlns:a16="http://schemas.microsoft.com/office/drawing/2014/main" id="{00000000-0008-0000-0000-00000A000000}"/>
            </a:ext>
          </a:extLst>
        </xdr:cNvPr>
        <xdr:cNvSpPr>
          <a:spLocks noGrp="1"/>
        </xdr:cNvSpPr>
      </xdr:nvSpPr>
      <xdr:spPr>
        <a:xfrm>
          <a:off x="133350" y="4171950"/>
          <a:ext cx="184785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05  Remediation</a:t>
          </a:r>
        </a:p>
      </xdr:txBody>
    </xdr:sp>
    <xdr:clientData/>
  </xdr:twoCellAnchor>
  <xdr:twoCellAnchor editAs="absolute">
    <xdr:from>
      <xdr:col>0</xdr:col>
      <xdr:colOff>133350</xdr:colOff>
      <xdr:row>17</xdr:row>
      <xdr:rowOff>228600</xdr:rowOff>
    </xdr:from>
    <xdr:to>
      <xdr:col>3</xdr:col>
      <xdr:colOff>323850</xdr:colOff>
      <xdr:row>19</xdr:row>
      <xdr:rowOff>152400</xdr:rowOff>
    </xdr:to>
    <xdr:sp macro="" textlink="">
      <xdr:nvSpPr>
        <xdr:cNvPr id="11" name="NAV|Scoring Methodology|06  Scoring" descr="Dashboard navigation: Scoring Methodology">
          <a:hlinkClick xmlns:r="http://schemas.openxmlformats.org/officeDocument/2006/relationships" r:id="rId8" tooltip="Open Scoring Methodology"/>
          <a:extLst>
            <a:ext uri="{FF2B5EF4-FFF2-40B4-BE49-F238E27FC236}">
              <a16:creationId xmlns:a16="http://schemas.microsoft.com/office/drawing/2014/main" id="{00000000-0008-0000-0000-00000B000000}"/>
            </a:ext>
          </a:extLst>
        </xdr:cNvPr>
        <xdr:cNvSpPr>
          <a:spLocks noGrp="1"/>
        </xdr:cNvSpPr>
      </xdr:nvSpPr>
      <xdr:spPr>
        <a:xfrm>
          <a:off x="133350" y="4800600"/>
          <a:ext cx="184785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06  Scoring</a:t>
          </a:r>
        </a:p>
      </xdr:txBody>
    </xdr:sp>
    <xdr:clientData/>
  </xdr:twoCellAnchor>
  <xdr:twoCellAnchor editAs="absolute">
    <xdr:from>
      <xdr:col>0</xdr:col>
      <xdr:colOff>133350</xdr:colOff>
      <xdr:row>20</xdr:row>
      <xdr:rowOff>57150</xdr:rowOff>
    </xdr:from>
    <xdr:to>
      <xdr:col>3</xdr:col>
      <xdr:colOff>323850</xdr:colOff>
      <xdr:row>21</xdr:row>
      <xdr:rowOff>247650</xdr:rowOff>
    </xdr:to>
    <xdr:sp macro="" textlink="">
      <xdr:nvSpPr>
        <xdr:cNvPr id="12" name="NAV|Instructions|07  Guide" descr="Dashboard navigation: Instructions">
          <a:hlinkClick xmlns:r="http://schemas.openxmlformats.org/officeDocument/2006/relationships" r:id="rId9" tooltip="Open Instructions"/>
          <a:extLst>
            <a:ext uri="{FF2B5EF4-FFF2-40B4-BE49-F238E27FC236}">
              <a16:creationId xmlns:a16="http://schemas.microsoft.com/office/drawing/2014/main" id="{00000000-0008-0000-0000-00000C000000}"/>
            </a:ext>
          </a:extLst>
        </xdr:cNvPr>
        <xdr:cNvSpPr>
          <a:spLocks noGrp="1"/>
        </xdr:cNvSpPr>
      </xdr:nvSpPr>
      <xdr:spPr>
        <a:xfrm>
          <a:off x="133350" y="5429250"/>
          <a:ext cx="184785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07  Guide</a:t>
          </a:r>
        </a:p>
      </xdr:txBody>
    </xdr:sp>
    <xdr:clientData/>
  </xdr:twoCellAnchor>
  <xdr:oneCellAnchor>
    <xdr:from>
      <xdr:col>0</xdr:col>
      <xdr:colOff>171450</xdr:colOff>
      <xdr:row>23</xdr:row>
      <xdr:rowOff>247650</xdr:rowOff>
    </xdr:from>
    <xdr:ext cx="1790700" cy="742950"/>
    <xdr:sp macro="" textlink="">
      <xdr:nvSpPr>
        <xdr:cNvPr id="13" name="BRAND|TRAINING SCENARIO&#10;R-001 remains simulated.&#10;Evidence pending validation.">
          <a:extLst>
            <a:ext uri="{FF2B5EF4-FFF2-40B4-BE49-F238E27FC236}">
              <a16:creationId xmlns:a16="http://schemas.microsoft.com/office/drawing/2014/main" id="{00000000-0008-0000-0000-00000D000000}"/>
            </a:ext>
          </a:extLst>
        </xdr:cNvPr>
        <xdr:cNvSpPr>
          <a:spLocks noGrp="1"/>
        </xdr:cNvSpPr>
      </xdr:nvSpPr>
      <xdr:spPr>
        <a:xfrm>
          <a:off x="171450" y="6419850"/>
          <a:ext cx="1790700" cy="742950"/>
        </a:xfrm>
        <a:prstGeom prst="rect">
          <a:avLst/>
        </a:prstGeom>
        <a:solidFill>
          <a:srgbClr val="10263A"/>
        </a:solidFill>
        <a:ln w="0">
          <a:solidFill>
            <a:srgbClr val="10263A"/>
          </a:solidFill>
        </a:ln>
      </xdr:spPr>
      <xdr:txBody>
        <a:bodyPr wrap="square" lIns="0" tIns="0" rIns="0" bIns="0" anchor="ctr"/>
        <a:lstStyle/>
        <a:p>
          <a:pPr algn="ctr"/>
          <a:endParaRPr lang="en-US" sz="1100" b="1">
            <a:solidFill>
              <a:srgbClr val="FFFFFF"/>
            </a:solidFill>
            <a:latin typeface="Arial"/>
          </a:endParaRPr>
        </a:p>
      </xdr:txBody>
    </xdr:sp>
    <xdr:clientData/>
  </xdr:oneCellAnchor>
  <xdr:oneCellAnchor>
    <xdr:from>
      <xdr:col>1</xdr:col>
      <xdr:colOff>142875</xdr:colOff>
      <xdr:row>0</xdr:row>
      <xdr:rowOff>95250</xdr:rowOff>
    </xdr:from>
    <xdr:ext cx="781050" cy="781050"/>
    <xdr:pic>
      <xdr:nvPicPr>
        <xdr:cNvPr id="14" name="bfa18cc7-891d-41d4-954e-f27aac79286d">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4</xdr:col>
      <xdr:colOff>228600</xdr:colOff>
      <xdr:row>0</xdr:row>
      <xdr:rowOff>66675</xdr:rowOff>
    </xdr:from>
    <xdr:to>
      <xdr:col>24</xdr:col>
      <xdr:colOff>586154</xdr:colOff>
      <xdr:row>1</xdr:row>
      <xdr:rowOff>309929</xdr:rowOff>
    </xdr:to>
    <xdr:sp macro="" textlink="">
      <xdr:nvSpPr>
        <xdr:cNvPr id="2" name="TITLE|RISK REGISTER">
          <a:extLst>
            <a:ext uri="{FF2B5EF4-FFF2-40B4-BE49-F238E27FC236}">
              <a16:creationId xmlns:a16="http://schemas.microsoft.com/office/drawing/2014/main" id="{00000000-0008-0000-0100-000002000000}"/>
            </a:ext>
          </a:extLst>
        </xdr:cNvPr>
        <xdr:cNvSpPr>
          <a:spLocks noGrp="1"/>
        </xdr:cNvSpPr>
      </xdr:nvSpPr>
      <xdr:spPr>
        <a:xfrm>
          <a:off x="2426677" y="66675"/>
          <a:ext cx="30825342" cy="609600"/>
        </a:xfrm>
        <a:prstGeom prst="rect">
          <a:avLst/>
        </a:prstGeom>
        <a:solidFill>
          <a:srgbClr val="081323"/>
        </a:solidFill>
        <a:ln w="0">
          <a:solidFill>
            <a:srgbClr val="081323"/>
          </a:solidFill>
        </a:ln>
      </xdr:spPr>
      <xdr:txBody>
        <a:bodyPr wrap="square" lIns="0" tIns="0" rIns="0" bIns="0" anchor="ctr"/>
        <a:lstStyle/>
        <a:p>
          <a:pPr algn="ctr"/>
          <a:r>
            <a:rPr lang="en-US" sz="2300" b="1">
              <a:solidFill>
                <a:srgbClr val="EAF6FF"/>
              </a:solidFill>
              <a:latin typeface="Arial"/>
            </a:rPr>
            <a:t>RISK REGISTER</a:t>
          </a:r>
        </a:p>
      </xdr:txBody>
    </xdr:sp>
    <xdr:clientData/>
  </xdr:twoCellAnchor>
  <xdr:oneCellAnchor>
    <xdr:from>
      <xdr:col>0</xdr:col>
      <xdr:colOff>76200</xdr:colOff>
      <xdr:row>3</xdr:row>
      <xdr:rowOff>19050</xdr:rowOff>
    </xdr:from>
    <xdr:ext cx="1981200" cy="381000"/>
    <xdr:sp macro="" textlink="">
      <xdr:nvSpPr>
        <xdr:cNvPr id="3" name="BRAND|CYBERSECURITY&#10;GRC PORTFOLIO">
          <a:extLst>
            <a:ext uri="{FF2B5EF4-FFF2-40B4-BE49-F238E27FC236}">
              <a16:creationId xmlns:a16="http://schemas.microsoft.com/office/drawing/2014/main" id="{00000000-0008-0000-0100-000003000000}"/>
            </a:ext>
          </a:extLst>
        </xdr:cNvPr>
        <xdr:cNvSpPr>
          <a:spLocks noGrp="1"/>
        </xdr:cNvSpPr>
      </xdr:nvSpPr>
      <xdr:spPr>
        <a:xfrm>
          <a:off x="76200" y="933450"/>
          <a:ext cx="1981200" cy="381000"/>
        </a:xfrm>
        <a:prstGeom prst="rect">
          <a:avLst/>
        </a:prstGeom>
        <a:solidFill>
          <a:srgbClr val="10263A"/>
        </a:solidFill>
        <a:ln w="0">
          <a:solidFill>
            <a:srgbClr val="10263A"/>
          </a:solidFill>
        </a:ln>
      </xdr:spPr>
      <xdr:txBody>
        <a:bodyPr wrap="square" lIns="0" tIns="0" rIns="0" bIns="0" anchor="ctr"/>
        <a:lstStyle/>
        <a:p>
          <a:pPr algn="ctr"/>
          <a:r>
            <a:rPr lang="en-US" sz="1100" b="1">
              <a:solidFill>
                <a:srgbClr val="FFFFFF"/>
              </a:solidFill>
              <a:latin typeface="Arial"/>
            </a:rPr>
            <a:t>CYBERSECURITY</a:t>
          </a:r>
        </a:p>
        <a:p>
          <a:pPr algn="ctr"/>
          <a:r>
            <a:rPr lang="en-US" sz="1100" b="1">
              <a:solidFill>
                <a:srgbClr val="FFFFFF"/>
              </a:solidFill>
              <a:latin typeface="Arial"/>
            </a:rPr>
            <a:t>GRC PORTFOLIO</a:t>
          </a:r>
        </a:p>
      </xdr:txBody>
    </xdr:sp>
    <xdr:clientData/>
  </xdr:oneCellAnchor>
  <xdr:twoCellAnchor editAs="absolute">
    <xdr:from>
      <xdr:col>0</xdr:col>
      <xdr:colOff>133350</xdr:colOff>
      <xdr:row>6</xdr:row>
      <xdr:rowOff>180730</xdr:rowOff>
    </xdr:from>
    <xdr:to>
      <xdr:col>3</xdr:col>
      <xdr:colOff>355023</xdr:colOff>
      <xdr:row>6</xdr:row>
      <xdr:rowOff>645765</xdr:rowOff>
    </xdr:to>
    <xdr:sp macro="" textlink="">
      <xdr:nvSpPr>
        <xdr:cNvPr id="4" name="NAV|Dashboard|01  Dashboard" descr="Risk Register navigation: Dashboard">
          <a:hlinkClick xmlns:r="http://schemas.openxmlformats.org/officeDocument/2006/relationships" r:id="rId1" tooltip="Open Dashboard"/>
          <a:extLst>
            <a:ext uri="{FF2B5EF4-FFF2-40B4-BE49-F238E27FC236}">
              <a16:creationId xmlns:a16="http://schemas.microsoft.com/office/drawing/2014/main" id="{00000000-0008-0000-0100-000004000000}"/>
            </a:ext>
          </a:extLst>
        </xdr:cNvPr>
        <xdr:cNvSpPr>
          <a:spLocks noGrp="1"/>
        </xdr:cNvSpPr>
      </xdr:nvSpPr>
      <xdr:spPr>
        <a:xfrm>
          <a:off x="133350" y="1642341"/>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01  Dashboard</a:t>
          </a:r>
        </a:p>
      </xdr:txBody>
    </xdr:sp>
    <xdr:clientData/>
  </xdr:twoCellAnchor>
  <xdr:twoCellAnchor editAs="absolute">
    <xdr:from>
      <xdr:col>0</xdr:col>
      <xdr:colOff>133350</xdr:colOff>
      <xdr:row>6</xdr:row>
      <xdr:rowOff>784907</xdr:rowOff>
    </xdr:from>
    <xdr:to>
      <xdr:col>3</xdr:col>
      <xdr:colOff>355023</xdr:colOff>
      <xdr:row>6</xdr:row>
      <xdr:rowOff>1242107</xdr:rowOff>
    </xdr:to>
    <xdr:sp macro="" textlink="">
      <xdr:nvSpPr>
        <xdr:cNvPr id="5" name="NAV|Risk Register|02  Risk register" descr="Risk Register navigation: Risk Register (current page)">
          <a:hlinkClick xmlns:r="http://schemas.openxmlformats.org/officeDocument/2006/relationships" r:id="rId2" tooltip="Open Risk Register"/>
          <a:extLst>
            <a:ext uri="{FF2B5EF4-FFF2-40B4-BE49-F238E27FC236}">
              <a16:creationId xmlns:a16="http://schemas.microsoft.com/office/drawing/2014/main" id="{00000000-0008-0000-0100-000005000000}"/>
            </a:ext>
          </a:extLst>
        </xdr:cNvPr>
        <xdr:cNvSpPr>
          <a:spLocks noGrp="1"/>
        </xdr:cNvSpPr>
      </xdr:nvSpPr>
      <xdr:spPr>
        <a:xfrm>
          <a:off x="133350" y="2238683"/>
          <a:ext cx="1866900" cy="457200"/>
        </a:xfrm>
        <a:prstGeom prst="roundRect">
          <a:avLst/>
        </a:prstGeom>
        <a:solidFill>
          <a:srgbClr val="35E1D1"/>
        </a:solidFill>
        <a:ln w="9525">
          <a:solidFill>
            <a:srgbClr val="35E1D1"/>
          </a:solidFill>
        </a:ln>
      </xdr:spPr>
      <xdr:txBody>
        <a:bodyPr wrap="square" lIns="0" tIns="0" rIns="0" bIns="0" anchor="ctr"/>
        <a:lstStyle/>
        <a:p>
          <a:pPr algn="ctr"/>
          <a:r>
            <a:rPr lang="en-US" sz="1100" b="1">
              <a:solidFill>
                <a:srgbClr val="081323"/>
              </a:solidFill>
              <a:latin typeface="Arial"/>
            </a:rPr>
            <a:t>02  Risk register</a:t>
          </a:r>
        </a:p>
      </xdr:txBody>
    </xdr:sp>
    <xdr:clientData/>
  </xdr:twoCellAnchor>
  <xdr:twoCellAnchor editAs="absolute">
    <xdr:from>
      <xdr:col>0</xdr:col>
      <xdr:colOff>133350</xdr:colOff>
      <xdr:row>6</xdr:row>
      <xdr:rowOff>1381249</xdr:rowOff>
    </xdr:from>
    <xdr:to>
      <xdr:col>3</xdr:col>
      <xdr:colOff>355023</xdr:colOff>
      <xdr:row>6</xdr:row>
      <xdr:rowOff>1838449</xdr:rowOff>
    </xdr:to>
    <xdr:sp macro="" textlink="">
      <xdr:nvSpPr>
        <xdr:cNvPr id="6" name="NAV|Control Assessment|03  Controls" descr="Risk Register navigation: Control Assessment">
          <a:hlinkClick xmlns:r="http://schemas.openxmlformats.org/officeDocument/2006/relationships" r:id="rId3" tooltip="Open Control Assessment"/>
          <a:extLst>
            <a:ext uri="{FF2B5EF4-FFF2-40B4-BE49-F238E27FC236}">
              <a16:creationId xmlns:a16="http://schemas.microsoft.com/office/drawing/2014/main" id="{00000000-0008-0000-0100-000006000000}"/>
            </a:ext>
          </a:extLst>
        </xdr:cNvPr>
        <xdr:cNvSpPr>
          <a:spLocks noGrp="1"/>
        </xdr:cNvSpPr>
      </xdr:nvSpPr>
      <xdr:spPr>
        <a:xfrm>
          <a:off x="133350" y="2835025"/>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03  Controls</a:t>
          </a:r>
        </a:p>
      </xdr:txBody>
    </xdr:sp>
    <xdr:clientData/>
  </xdr:twoCellAnchor>
  <xdr:twoCellAnchor editAs="absolute">
    <xdr:from>
      <xdr:col>0</xdr:col>
      <xdr:colOff>133350</xdr:colOff>
      <xdr:row>6</xdr:row>
      <xdr:rowOff>1977591</xdr:rowOff>
    </xdr:from>
    <xdr:to>
      <xdr:col>3</xdr:col>
      <xdr:colOff>355023</xdr:colOff>
      <xdr:row>6</xdr:row>
      <xdr:rowOff>2434791</xdr:rowOff>
    </xdr:to>
    <xdr:sp macro="" textlink="">
      <xdr:nvSpPr>
        <xdr:cNvPr id="7" name="NAV|Evidence Tracker|04  Evidence" descr="Risk Register navigation: Evidence Tracker">
          <a:hlinkClick xmlns:r="http://schemas.openxmlformats.org/officeDocument/2006/relationships" r:id="rId4" tooltip="Open Evidence Tracker"/>
          <a:extLst>
            <a:ext uri="{FF2B5EF4-FFF2-40B4-BE49-F238E27FC236}">
              <a16:creationId xmlns:a16="http://schemas.microsoft.com/office/drawing/2014/main" id="{00000000-0008-0000-0100-000007000000}"/>
            </a:ext>
          </a:extLst>
        </xdr:cNvPr>
        <xdr:cNvSpPr>
          <a:spLocks noGrp="1"/>
        </xdr:cNvSpPr>
      </xdr:nvSpPr>
      <xdr:spPr>
        <a:xfrm>
          <a:off x="133350" y="3431367"/>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04  Evidence</a:t>
          </a:r>
        </a:p>
      </xdr:txBody>
    </xdr:sp>
    <xdr:clientData/>
  </xdr:twoCellAnchor>
  <xdr:twoCellAnchor editAs="absolute">
    <xdr:from>
      <xdr:col>0</xdr:col>
      <xdr:colOff>158750</xdr:colOff>
      <xdr:row>6</xdr:row>
      <xdr:rowOff>2573933</xdr:rowOff>
    </xdr:from>
    <xdr:to>
      <xdr:col>3</xdr:col>
      <xdr:colOff>380423</xdr:colOff>
      <xdr:row>7</xdr:row>
      <xdr:rowOff>132812</xdr:rowOff>
    </xdr:to>
    <xdr:sp macro="" textlink="">
      <xdr:nvSpPr>
        <xdr:cNvPr id="8" name="NAV|Remediation Tracker|05  Remediation" descr="Risk Register navigation: Remediation Tracker">
          <a:hlinkClick xmlns:r="http://schemas.openxmlformats.org/officeDocument/2006/relationships" r:id="rId5" tooltip="Open Remediation Tracker"/>
          <a:extLst>
            <a:ext uri="{FF2B5EF4-FFF2-40B4-BE49-F238E27FC236}">
              <a16:creationId xmlns:a16="http://schemas.microsoft.com/office/drawing/2014/main" id="{00000000-0008-0000-0100-000008000000}"/>
            </a:ext>
          </a:extLst>
        </xdr:cNvPr>
        <xdr:cNvSpPr>
          <a:spLocks noGrp="1"/>
        </xdr:cNvSpPr>
      </xdr:nvSpPr>
      <xdr:spPr>
        <a:xfrm>
          <a:off x="158750" y="4027709"/>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05  Remediation</a:t>
          </a:r>
        </a:p>
      </xdr:txBody>
    </xdr:sp>
    <xdr:clientData/>
  </xdr:twoCellAnchor>
  <xdr:twoCellAnchor editAs="absolute">
    <xdr:from>
      <xdr:col>0</xdr:col>
      <xdr:colOff>158750</xdr:colOff>
      <xdr:row>7</xdr:row>
      <xdr:rowOff>271954</xdr:rowOff>
    </xdr:from>
    <xdr:to>
      <xdr:col>3</xdr:col>
      <xdr:colOff>380423</xdr:colOff>
      <xdr:row>7</xdr:row>
      <xdr:rowOff>731875</xdr:rowOff>
    </xdr:to>
    <xdr:sp macro="" textlink="">
      <xdr:nvSpPr>
        <xdr:cNvPr id="9" name="NAV|Scoring Methodology|06  Scoring" descr="Risk Register navigation: Scoring Methodology">
          <a:hlinkClick xmlns:r="http://schemas.openxmlformats.org/officeDocument/2006/relationships" r:id="rId6" tooltip="Open Scoring Methodology"/>
          <a:extLst>
            <a:ext uri="{FF2B5EF4-FFF2-40B4-BE49-F238E27FC236}">
              <a16:creationId xmlns:a16="http://schemas.microsoft.com/office/drawing/2014/main" id="{00000000-0008-0000-0100-000009000000}"/>
            </a:ext>
          </a:extLst>
        </xdr:cNvPr>
        <xdr:cNvSpPr>
          <a:spLocks noGrp="1"/>
        </xdr:cNvSpPr>
      </xdr:nvSpPr>
      <xdr:spPr>
        <a:xfrm>
          <a:off x="158750" y="4624051"/>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06  Scoring</a:t>
          </a:r>
        </a:p>
      </xdr:txBody>
    </xdr:sp>
    <xdr:clientData/>
  </xdr:twoCellAnchor>
  <xdr:twoCellAnchor editAs="absolute">
    <xdr:from>
      <xdr:col>0</xdr:col>
      <xdr:colOff>128155</xdr:colOff>
      <xdr:row>7</xdr:row>
      <xdr:rowOff>867553</xdr:rowOff>
    </xdr:from>
    <xdr:to>
      <xdr:col>3</xdr:col>
      <xdr:colOff>349828</xdr:colOff>
      <xdr:row>7</xdr:row>
      <xdr:rowOff>1324753</xdr:rowOff>
    </xdr:to>
    <xdr:sp macro="" textlink="">
      <xdr:nvSpPr>
        <xdr:cNvPr id="10" name="NAV|Instructions|07  Guide" descr="Risk Register navigation: Instructions">
          <a:hlinkClick xmlns:r="http://schemas.openxmlformats.org/officeDocument/2006/relationships" r:id="rId7" tooltip="Open Instructions"/>
          <a:extLst>
            <a:ext uri="{FF2B5EF4-FFF2-40B4-BE49-F238E27FC236}">
              <a16:creationId xmlns:a16="http://schemas.microsoft.com/office/drawing/2014/main" id="{00000000-0008-0000-0100-00000A000000}"/>
            </a:ext>
          </a:extLst>
        </xdr:cNvPr>
        <xdr:cNvSpPr>
          <a:spLocks noGrp="1"/>
        </xdr:cNvSpPr>
      </xdr:nvSpPr>
      <xdr:spPr>
        <a:xfrm>
          <a:off x="128155" y="5220392"/>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07  Guide</a:t>
          </a:r>
        </a:p>
      </xdr:txBody>
    </xdr:sp>
    <xdr:clientData/>
  </xdr:twoCellAnchor>
  <xdr:oneCellAnchor>
    <xdr:from>
      <xdr:col>1</xdr:col>
      <xdr:colOff>142875</xdr:colOff>
      <xdr:row>0</xdr:row>
      <xdr:rowOff>95250</xdr:rowOff>
    </xdr:from>
    <xdr:ext cx="781050" cy="781050"/>
    <xdr:pic>
      <xdr:nvPicPr>
        <xdr:cNvPr id="12" name="4314764c-c99c-4f3e-83f3-e3ec88542438">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4</xdr:col>
      <xdr:colOff>228601</xdr:colOff>
      <xdr:row>0</xdr:row>
      <xdr:rowOff>66675</xdr:rowOff>
    </xdr:from>
    <xdr:to>
      <xdr:col>15</xdr:col>
      <xdr:colOff>3462619</xdr:colOff>
      <xdr:row>1</xdr:row>
      <xdr:rowOff>317687</xdr:rowOff>
    </xdr:to>
    <xdr:sp macro="" textlink="">
      <xdr:nvSpPr>
        <xdr:cNvPr id="2" name="TITLE|CONTROL ASSESSMENT">
          <a:extLst>
            <a:ext uri="{FF2B5EF4-FFF2-40B4-BE49-F238E27FC236}">
              <a16:creationId xmlns:a16="http://schemas.microsoft.com/office/drawing/2014/main" id="{00000000-0008-0000-0200-000002000000}"/>
            </a:ext>
          </a:extLst>
        </xdr:cNvPr>
        <xdr:cNvSpPr>
          <a:spLocks noGrp="1"/>
        </xdr:cNvSpPr>
      </xdr:nvSpPr>
      <xdr:spPr>
        <a:xfrm>
          <a:off x="2424954" y="66675"/>
          <a:ext cx="22272812" cy="609600"/>
        </a:xfrm>
        <a:prstGeom prst="rect">
          <a:avLst/>
        </a:prstGeom>
        <a:solidFill>
          <a:srgbClr val="081323"/>
        </a:solidFill>
        <a:ln w="0">
          <a:solidFill>
            <a:srgbClr val="081323"/>
          </a:solidFill>
        </a:ln>
      </xdr:spPr>
      <xdr:txBody>
        <a:bodyPr wrap="square" lIns="0" tIns="0" rIns="0" bIns="0" anchor="ctr"/>
        <a:lstStyle/>
        <a:p>
          <a:pPr algn="ctr"/>
          <a:r>
            <a:rPr lang="en-US" sz="2300" b="1">
              <a:solidFill>
                <a:srgbClr val="EAF6FF"/>
              </a:solidFill>
              <a:latin typeface="Arial"/>
            </a:rPr>
            <a:t>CONTROL ASSESSMENT</a:t>
          </a:r>
        </a:p>
      </xdr:txBody>
    </xdr:sp>
    <xdr:clientData/>
  </xdr:twoCellAnchor>
  <xdr:oneCellAnchor>
    <xdr:from>
      <xdr:col>0</xdr:col>
      <xdr:colOff>76200</xdr:colOff>
      <xdr:row>3</xdr:row>
      <xdr:rowOff>19050</xdr:rowOff>
    </xdr:from>
    <xdr:ext cx="1981200" cy="381000"/>
    <xdr:sp macro="" textlink="">
      <xdr:nvSpPr>
        <xdr:cNvPr id="3" name="BRAND|CYBERSECURITY&#10;GRC PORTFOLIO">
          <a:extLst>
            <a:ext uri="{FF2B5EF4-FFF2-40B4-BE49-F238E27FC236}">
              <a16:creationId xmlns:a16="http://schemas.microsoft.com/office/drawing/2014/main" id="{00000000-0008-0000-0200-000003000000}"/>
            </a:ext>
          </a:extLst>
        </xdr:cNvPr>
        <xdr:cNvSpPr>
          <a:spLocks noGrp="1"/>
        </xdr:cNvSpPr>
      </xdr:nvSpPr>
      <xdr:spPr>
        <a:xfrm>
          <a:off x="76200" y="933450"/>
          <a:ext cx="1981200" cy="381000"/>
        </a:xfrm>
        <a:prstGeom prst="rect">
          <a:avLst/>
        </a:prstGeom>
        <a:solidFill>
          <a:srgbClr val="10263A"/>
        </a:solidFill>
        <a:ln w="0">
          <a:solidFill>
            <a:srgbClr val="10263A"/>
          </a:solidFill>
        </a:ln>
      </xdr:spPr>
      <xdr:txBody>
        <a:bodyPr wrap="square" lIns="0" tIns="0" rIns="0" bIns="0" anchor="ctr"/>
        <a:lstStyle/>
        <a:p>
          <a:pPr algn="ctr"/>
          <a:r>
            <a:rPr lang="en-US" sz="1100" b="1">
              <a:solidFill>
                <a:srgbClr val="FFFFFF"/>
              </a:solidFill>
              <a:latin typeface="Arial"/>
            </a:rPr>
            <a:t>CYBERSECURITY</a:t>
          </a:r>
        </a:p>
        <a:p>
          <a:pPr algn="ctr"/>
          <a:r>
            <a:rPr lang="en-US" sz="1100" b="1">
              <a:solidFill>
                <a:srgbClr val="FFFFFF"/>
              </a:solidFill>
              <a:latin typeface="Arial"/>
            </a:rPr>
            <a:t>GRC PORTFOLIO</a:t>
          </a:r>
        </a:p>
      </xdr:txBody>
    </xdr:sp>
    <xdr:clientData/>
  </xdr:oneCellAnchor>
  <xdr:twoCellAnchor editAs="absolute">
    <xdr:from>
      <xdr:col>0</xdr:col>
      <xdr:colOff>133350</xdr:colOff>
      <xdr:row>5</xdr:row>
      <xdr:rowOff>285750</xdr:rowOff>
    </xdr:from>
    <xdr:to>
      <xdr:col>3</xdr:col>
      <xdr:colOff>323850</xdr:colOff>
      <xdr:row>6</xdr:row>
      <xdr:rowOff>158750</xdr:rowOff>
    </xdr:to>
    <xdr:sp macro="" textlink="">
      <xdr:nvSpPr>
        <xdr:cNvPr id="4" name="NAV|Dashboard|01  Dashboard" descr="Control Assessment navigation: Dashboard">
          <a:hlinkClick xmlns:r="http://schemas.openxmlformats.org/officeDocument/2006/relationships" r:id="rId1" tooltip="Open Dashboard"/>
          <a:extLst>
            <a:ext uri="{FF2B5EF4-FFF2-40B4-BE49-F238E27FC236}">
              <a16:creationId xmlns:a16="http://schemas.microsoft.com/office/drawing/2014/main" id="{00000000-0008-0000-0200-000004000000}"/>
            </a:ext>
          </a:extLst>
        </xdr:cNvPr>
        <xdr:cNvSpPr>
          <a:spLocks noGrp="1"/>
        </xdr:cNvSpPr>
      </xdr:nvSpPr>
      <xdr:spPr>
        <a:xfrm>
          <a:off x="133350" y="165735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01  Dashboard</a:t>
          </a:r>
        </a:p>
      </xdr:txBody>
    </xdr:sp>
    <xdr:clientData/>
  </xdr:twoCellAnchor>
  <xdr:twoCellAnchor editAs="absolute">
    <xdr:from>
      <xdr:col>0</xdr:col>
      <xdr:colOff>133350</xdr:colOff>
      <xdr:row>6</xdr:row>
      <xdr:rowOff>265853</xdr:rowOff>
    </xdr:from>
    <xdr:to>
      <xdr:col>3</xdr:col>
      <xdr:colOff>323850</xdr:colOff>
      <xdr:row>6</xdr:row>
      <xdr:rowOff>723053</xdr:rowOff>
    </xdr:to>
    <xdr:sp macro="" textlink="">
      <xdr:nvSpPr>
        <xdr:cNvPr id="5" name="NAV|Risk Register|02  Risk register" descr="Control Assessment navigation: Risk Register">
          <a:hlinkClick xmlns:r="http://schemas.openxmlformats.org/officeDocument/2006/relationships" r:id="rId2" tooltip="Open Risk Register"/>
          <a:extLst>
            <a:ext uri="{FF2B5EF4-FFF2-40B4-BE49-F238E27FC236}">
              <a16:creationId xmlns:a16="http://schemas.microsoft.com/office/drawing/2014/main" id="{00000000-0008-0000-0200-000005000000}"/>
            </a:ext>
          </a:extLst>
        </xdr:cNvPr>
        <xdr:cNvSpPr>
          <a:spLocks noGrp="1"/>
        </xdr:cNvSpPr>
      </xdr:nvSpPr>
      <xdr:spPr>
        <a:xfrm>
          <a:off x="133350" y="2234353"/>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02  Risk register</a:t>
          </a:r>
        </a:p>
      </xdr:txBody>
    </xdr:sp>
    <xdr:clientData/>
  </xdr:twoCellAnchor>
  <xdr:twoCellAnchor editAs="absolute">
    <xdr:from>
      <xdr:col>0</xdr:col>
      <xdr:colOff>133350</xdr:colOff>
      <xdr:row>6</xdr:row>
      <xdr:rowOff>834638</xdr:rowOff>
    </xdr:from>
    <xdr:to>
      <xdr:col>3</xdr:col>
      <xdr:colOff>323850</xdr:colOff>
      <xdr:row>6</xdr:row>
      <xdr:rowOff>1291838</xdr:rowOff>
    </xdr:to>
    <xdr:sp macro="" textlink="">
      <xdr:nvSpPr>
        <xdr:cNvPr id="6" name="NAV|Control Assessment|03  Controls" descr="Control Assessment navigation: Control Assessment (current page)">
          <a:hlinkClick xmlns:r="http://schemas.openxmlformats.org/officeDocument/2006/relationships" r:id="rId3" tooltip="Open Control Assessment"/>
          <a:extLst>
            <a:ext uri="{FF2B5EF4-FFF2-40B4-BE49-F238E27FC236}">
              <a16:creationId xmlns:a16="http://schemas.microsoft.com/office/drawing/2014/main" id="{00000000-0008-0000-0200-000006000000}"/>
            </a:ext>
          </a:extLst>
        </xdr:cNvPr>
        <xdr:cNvSpPr>
          <a:spLocks noGrp="1"/>
        </xdr:cNvSpPr>
      </xdr:nvSpPr>
      <xdr:spPr>
        <a:xfrm>
          <a:off x="133350" y="2798656"/>
          <a:ext cx="1866900" cy="457200"/>
        </a:xfrm>
        <a:prstGeom prst="roundRect">
          <a:avLst/>
        </a:prstGeom>
        <a:solidFill>
          <a:srgbClr val="35E1D1"/>
        </a:solidFill>
        <a:ln w="9525">
          <a:solidFill>
            <a:srgbClr val="35E1D1"/>
          </a:solidFill>
        </a:ln>
      </xdr:spPr>
      <xdr:txBody>
        <a:bodyPr wrap="square" lIns="0" tIns="0" rIns="0" bIns="0" anchor="ctr"/>
        <a:lstStyle/>
        <a:p>
          <a:pPr algn="ctr"/>
          <a:r>
            <a:rPr lang="en-US" sz="1100" b="1">
              <a:solidFill>
                <a:srgbClr val="081323"/>
              </a:solidFill>
              <a:latin typeface="Arial"/>
            </a:rPr>
            <a:t>03  Controls</a:t>
          </a:r>
        </a:p>
      </xdr:txBody>
    </xdr:sp>
    <xdr:clientData/>
  </xdr:twoCellAnchor>
  <xdr:twoCellAnchor editAs="absolute">
    <xdr:from>
      <xdr:col>0</xdr:col>
      <xdr:colOff>133350</xdr:colOff>
      <xdr:row>6</xdr:row>
      <xdr:rowOff>1398941</xdr:rowOff>
    </xdr:from>
    <xdr:to>
      <xdr:col>3</xdr:col>
      <xdr:colOff>323850</xdr:colOff>
      <xdr:row>7</xdr:row>
      <xdr:rowOff>230542</xdr:rowOff>
    </xdr:to>
    <xdr:sp macro="" textlink="">
      <xdr:nvSpPr>
        <xdr:cNvPr id="7" name="NAV|Evidence Tracker|04  Evidence" descr="Control Assessment navigation: Evidence Tracker">
          <a:hlinkClick xmlns:r="http://schemas.openxmlformats.org/officeDocument/2006/relationships" r:id="rId4" tooltip="Open Evidence Tracker"/>
          <a:extLst>
            <a:ext uri="{FF2B5EF4-FFF2-40B4-BE49-F238E27FC236}">
              <a16:creationId xmlns:a16="http://schemas.microsoft.com/office/drawing/2014/main" id="{00000000-0008-0000-0200-000007000000}"/>
            </a:ext>
          </a:extLst>
        </xdr:cNvPr>
        <xdr:cNvSpPr>
          <a:spLocks noGrp="1"/>
        </xdr:cNvSpPr>
      </xdr:nvSpPr>
      <xdr:spPr>
        <a:xfrm>
          <a:off x="133350" y="3362959"/>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04  Evidence</a:t>
          </a:r>
        </a:p>
      </xdr:txBody>
    </xdr:sp>
    <xdr:clientData/>
  </xdr:twoCellAnchor>
  <xdr:twoCellAnchor editAs="absolute">
    <xdr:from>
      <xdr:col>0</xdr:col>
      <xdr:colOff>133350</xdr:colOff>
      <xdr:row>7</xdr:row>
      <xdr:rowOff>337645</xdr:rowOff>
    </xdr:from>
    <xdr:to>
      <xdr:col>3</xdr:col>
      <xdr:colOff>323850</xdr:colOff>
      <xdr:row>8</xdr:row>
      <xdr:rowOff>61232</xdr:rowOff>
    </xdr:to>
    <xdr:sp macro="" textlink="">
      <xdr:nvSpPr>
        <xdr:cNvPr id="8" name="NAV|Remediation Tracker|05  Remediation" descr="Control Assessment navigation: Remediation Tracker">
          <a:hlinkClick xmlns:r="http://schemas.openxmlformats.org/officeDocument/2006/relationships" r:id="rId5" tooltip="Open Remediation Tracker"/>
          <a:extLst>
            <a:ext uri="{FF2B5EF4-FFF2-40B4-BE49-F238E27FC236}">
              <a16:creationId xmlns:a16="http://schemas.microsoft.com/office/drawing/2014/main" id="{00000000-0008-0000-0200-000008000000}"/>
            </a:ext>
          </a:extLst>
        </xdr:cNvPr>
        <xdr:cNvSpPr>
          <a:spLocks noGrp="1"/>
        </xdr:cNvSpPr>
      </xdr:nvSpPr>
      <xdr:spPr>
        <a:xfrm>
          <a:off x="133350" y="3927262"/>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05  Remediation</a:t>
          </a:r>
        </a:p>
      </xdr:txBody>
    </xdr:sp>
    <xdr:clientData/>
  </xdr:twoCellAnchor>
  <xdr:twoCellAnchor editAs="absolute">
    <xdr:from>
      <xdr:col>0</xdr:col>
      <xdr:colOff>133350</xdr:colOff>
      <xdr:row>8</xdr:row>
      <xdr:rowOff>163106</xdr:rowOff>
    </xdr:from>
    <xdr:to>
      <xdr:col>3</xdr:col>
      <xdr:colOff>323850</xdr:colOff>
      <xdr:row>8</xdr:row>
      <xdr:rowOff>615077</xdr:rowOff>
    </xdr:to>
    <xdr:sp macro="" textlink="">
      <xdr:nvSpPr>
        <xdr:cNvPr id="9" name="NAV|Scoring Methodology|06  Scoring" descr="Control Assessment navigation: Scoring Methodology">
          <a:hlinkClick xmlns:r="http://schemas.openxmlformats.org/officeDocument/2006/relationships" r:id="rId6" tooltip="Open Scoring Methodology"/>
          <a:extLst>
            <a:ext uri="{FF2B5EF4-FFF2-40B4-BE49-F238E27FC236}">
              <a16:creationId xmlns:a16="http://schemas.microsoft.com/office/drawing/2014/main" id="{00000000-0008-0000-0200-000009000000}"/>
            </a:ext>
          </a:extLst>
        </xdr:cNvPr>
        <xdr:cNvSpPr>
          <a:spLocks noGrp="1"/>
        </xdr:cNvSpPr>
      </xdr:nvSpPr>
      <xdr:spPr>
        <a:xfrm>
          <a:off x="133350" y="4491565"/>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06  Scoring</a:t>
          </a:r>
        </a:p>
      </xdr:txBody>
    </xdr:sp>
    <xdr:clientData/>
  </xdr:twoCellAnchor>
  <xdr:twoCellAnchor editAs="absolute">
    <xdr:from>
      <xdr:col>0</xdr:col>
      <xdr:colOff>133350</xdr:colOff>
      <xdr:row>8</xdr:row>
      <xdr:rowOff>722182</xdr:rowOff>
    </xdr:from>
    <xdr:to>
      <xdr:col>3</xdr:col>
      <xdr:colOff>323850</xdr:colOff>
      <xdr:row>8</xdr:row>
      <xdr:rowOff>1168923</xdr:rowOff>
    </xdr:to>
    <xdr:sp macro="" textlink="">
      <xdr:nvSpPr>
        <xdr:cNvPr id="10" name="NAV|Instructions|07  Guide" descr="Control Assessment navigation: Instructions">
          <a:hlinkClick xmlns:r="http://schemas.openxmlformats.org/officeDocument/2006/relationships" r:id="rId7" tooltip="Open Instructions"/>
          <a:extLst>
            <a:ext uri="{FF2B5EF4-FFF2-40B4-BE49-F238E27FC236}">
              <a16:creationId xmlns:a16="http://schemas.microsoft.com/office/drawing/2014/main" id="{00000000-0008-0000-0200-00000A000000}"/>
            </a:ext>
          </a:extLst>
        </xdr:cNvPr>
        <xdr:cNvSpPr>
          <a:spLocks noGrp="1"/>
        </xdr:cNvSpPr>
      </xdr:nvSpPr>
      <xdr:spPr>
        <a:xfrm>
          <a:off x="133350" y="542925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07  Guide</a:t>
          </a:r>
        </a:p>
      </xdr:txBody>
    </xdr:sp>
    <xdr:clientData/>
  </xdr:twoCellAnchor>
  <xdr:oneCellAnchor>
    <xdr:from>
      <xdr:col>1</xdr:col>
      <xdr:colOff>142875</xdr:colOff>
      <xdr:row>0</xdr:row>
      <xdr:rowOff>95250</xdr:rowOff>
    </xdr:from>
    <xdr:ext cx="781050" cy="781050"/>
    <xdr:pic>
      <xdr:nvPicPr>
        <xdr:cNvPr id="12" name="8a289db9-8feb-473b-96a0-67eff736751e">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4</xdr:col>
      <xdr:colOff>228600</xdr:colOff>
      <xdr:row>0</xdr:row>
      <xdr:rowOff>66675</xdr:rowOff>
    </xdr:from>
    <xdr:to>
      <xdr:col>17</xdr:col>
      <xdr:colOff>3597088</xdr:colOff>
      <xdr:row>1</xdr:row>
      <xdr:rowOff>317687</xdr:rowOff>
    </xdr:to>
    <xdr:sp macro="" textlink="">
      <xdr:nvSpPr>
        <xdr:cNvPr id="2" name="TITLE|EVIDENCE TRACKER">
          <a:extLst>
            <a:ext uri="{FF2B5EF4-FFF2-40B4-BE49-F238E27FC236}">
              <a16:creationId xmlns:a16="http://schemas.microsoft.com/office/drawing/2014/main" id="{00000000-0008-0000-0300-000002000000}"/>
            </a:ext>
          </a:extLst>
        </xdr:cNvPr>
        <xdr:cNvSpPr>
          <a:spLocks noGrp="1"/>
        </xdr:cNvSpPr>
      </xdr:nvSpPr>
      <xdr:spPr>
        <a:xfrm>
          <a:off x="2424953" y="66675"/>
          <a:ext cx="27965400" cy="609600"/>
        </a:xfrm>
        <a:prstGeom prst="rect">
          <a:avLst/>
        </a:prstGeom>
        <a:solidFill>
          <a:srgbClr val="081323"/>
        </a:solidFill>
        <a:ln w="0">
          <a:solidFill>
            <a:srgbClr val="081323"/>
          </a:solidFill>
        </a:ln>
      </xdr:spPr>
      <xdr:txBody>
        <a:bodyPr wrap="square" lIns="0" tIns="0" rIns="0" bIns="0" anchor="ctr"/>
        <a:lstStyle/>
        <a:p>
          <a:pPr algn="ctr"/>
          <a:r>
            <a:rPr lang="en-US" sz="2300" b="1">
              <a:solidFill>
                <a:srgbClr val="EAF6FF"/>
              </a:solidFill>
              <a:latin typeface="Arial"/>
            </a:rPr>
            <a:t>EVIDENCE TRACKER</a:t>
          </a:r>
        </a:p>
      </xdr:txBody>
    </xdr:sp>
    <xdr:clientData/>
  </xdr:twoCellAnchor>
  <xdr:oneCellAnchor>
    <xdr:from>
      <xdr:col>0</xdr:col>
      <xdr:colOff>76200</xdr:colOff>
      <xdr:row>3</xdr:row>
      <xdr:rowOff>19050</xdr:rowOff>
    </xdr:from>
    <xdr:ext cx="1981200" cy="381000"/>
    <xdr:sp macro="" textlink="">
      <xdr:nvSpPr>
        <xdr:cNvPr id="3" name="BRAND|CYBERSECURITY&#10;GRC PORTFOLIO">
          <a:extLst>
            <a:ext uri="{FF2B5EF4-FFF2-40B4-BE49-F238E27FC236}">
              <a16:creationId xmlns:a16="http://schemas.microsoft.com/office/drawing/2014/main" id="{00000000-0008-0000-0300-000003000000}"/>
            </a:ext>
          </a:extLst>
        </xdr:cNvPr>
        <xdr:cNvSpPr>
          <a:spLocks noGrp="1"/>
        </xdr:cNvSpPr>
      </xdr:nvSpPr>
      <xdr:spPr>
        <a:xfrm>
          <a:off x="76200" y="933450"/>
          <a:ext cx="1981200" cy="381000"/>
        </a:xfrm>
        <a:prstGeom prst="rect">
          <a:avLst/>
        </a:prstGeom>
        <a:solidFill>
          <a:srgbClr val="10263A"/>
        </a:solidFill>
        <a:ln w="0">
          <a:solidFill>
            <a:srgbClr val="10263A"/>
          </a:solidFill>
        </a:ln>
      </xdr:spPr>
      <xdr:txBody>
        <a:bodyPr wrap="square" lIns="0" tIns="0" rIns="0" bIns="0" anchor="ctr"/>
        <a:lstStyle/>
        <a:p>
          <a:pPr algn="ctr"/>
          <a:r>
            <a:rPr lang="en-US" sz="1100" b="1">
              <a:solidFill>
                <a:srgbClr val="FFFFFF"/>
              </a:solidFill>
              <a:latin typeface="Arial"/>
            </a:rPr>
            <a:t>CYBERSECURITY</a:t>
          </a:r>
        </a:p>
        <a:p>
          <a:pPr algn="ctr"/>
          <a:r>
            <a:rPr lang="en-US" sz="1100" b="1">
              <a:solidFill>
                <a:srgbClr val="FFFFFF"/>
              </a:solidFill>
              <a:latin typeface="Arial"/>
            </a:rPr>
            <a:t>GRC PORTFOLIO</a:t>
          </a:r>
        </a:p>
      </xdr:txBody>
    </xdr:sp>
    <xdr:clientData/>
  </xdr:oneCellAnchor>
  <xdr:twoCellAnchor editAs="absolute">
    <xdr:from>
      <xdr:col>0</xdr:col>
      <xdr:colOff>133350</xdr:colOff>
      <xdr:row>5</xdr:row>
      <xdr:rowOff>285750</xdr:rowOff>
    </xdr:from>
    <xdr:to>
      <xdr:col>3</xdr:col>
      <xdr:colOff>323850</xdr:colOff>
      <xdr:row>6</xdr:row>
      <xdr:rowOff>158750</xdr:rowOff>
    </xdr:to>
    <xdr:sp macro="" textlink="">
      <xdr:nvSpPr>
        <xdr:cNvPr id="4" name="NAV|Dashboard|01  Dashboard" descr="Evidence Tracker navigation: Dashboard">
          <a:hlinkClick xmlns:r="http://schemas.openxmlformats.org/officeDocument/2006/relationships" r:id="rId1" tooltip="Open Dashboard"/>
          <a:extLst>
            <a:ext uri="{FF2B5EF4-FFF2-40B4-BE49-F238E27FC236}">
              <a16:creationId xmlns:a16="http://schemas.microsoft.com/office/drawing/2014/main" id="{00000000-0008-0000-0300-000004000000}"/>
            </a:ext>
          </a:extLst>
        </xdr:cNvPr>
        <xdr:cNvSpPr>
          <a:spLocks noGrp="1"/>
        </xdr:cNvSpPr>
      </xdr:nvSpPr>
      <xdr:spPr>
        <a:xfrm>
          <a:off x="133350" y="165735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01  Dashboard</a:t>
          </a:r>
        </a:p>
      </xdr:txBody>
    </xdr:sp>
    <xdr:clientData/>
  </xdr:twoCellAnchor>
  <xdr:twoCellAnchor editAs="absolute">
    <xdr:from>
      <xdr:col>0</xdr:col>
      <xdr:colOff>133350</xdr:colOff>
      <xdr:row>6</xdr:row>
      <xdr:rowOff>236220</xdr:rowOff>
    </xdr:from>
    <xdr:to>
      <xdr:col>3</xdr:col>
      <xdr:colOff>323850</xdr:colOff>
      <xdr:row>6</xdr:row>
      <xdr:rowOff>693420</xdr:rowOff>
    </xdr:to>
    <xdr:sp macro="" textlink="">
      <xdr:nvSpPr>
        <xdr:cNvPr id="5" name="NAV|Risk Register|02  Risk register" descr="Evidence Tracker navigation: Risk Register">
          <a:hlinkClick xmlns:r="http://schemas.openxmlformats.org/officeDocument/2006/relationships" r:id="rId2" tooltip="Open Risk Register"/>
          <a:extLst>
            <a:ext uri="{FF2B5EF4-FFF2-40B4-BE49-F238E27FC236}">
              <a16:creationId xmlns:a16="http://schemas.microsoft.com/office/drawing/2014/main" id="{00000000-0008-0000-0300-000005000000}"/>
            </a:ext>
          </a:extLst>
        </xdr:cNvPr>
        <xdr:cNvSpPr>
          <a:spLocks noGrp="1"/>
        </xdr:cNvSpPr>
      </xdr:nvSpPr>
      <xdr:spPr>
        <a:xfrm>
          <a:off x="133350" y="2188845"/>
          <a:ext cx="184785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02  Risk register</a:t>
          </a:r>
        </a:p>
      </xdr:txBody>
    </xdr:sp>
    <xdr:clientData/>
  </xdr:twoCellAnchor>
  <xdr:twoCellAnchor editAs="absolute">
    <xdr:from>
      <xdr:col>0</xdr:col>
      <xdr:colOff>133350</xdr:colOff>
      <xdr:row>6</xdr:row>
      <xdr:rowOff>770890</xdr:rowOff>
    </xdr:from>
    <xdr:to>
      <xdr:col>3</xdr:col>
      <xdr:colOff>323850</xdr:colOff>
      <xdr:row>7</xdr:row>
      <xdr:rowOff>326390</xdr:rowOff>
    </xdr:to>
    <xdr:sp macro="" textlink="">
      <xdr:nvSpPr>
        <xdr:cNvPr id="6" name="NAV|Control Assessment|03  Controls" descr="Evidence Tracker navigation: Control Assessment">
          <a:hlinkClick xmlns:r="http://schemas.openxmlformats.org/officeDocument/2006/relationships" r:id="rId3" tooltip="Open Control Assessment"/>
          <a:extLst>
            <a:ext uri="{FF2B5EF4-FFF2-40B4-BE49-F238E27FC236}">
              <a16:creationId xmlns:a16="http://schemas.microsoft.com/office/drawing/2014/main" id="{00000000-0008-0000-0300-000006000000}"/>
            </a:ext>
          </a:extLst>
        </xdr:cNvPr>
        <xdr:cNvSpPr>
          <a:spLocks noGrp="1"/>
        </xdr:cNvSpPr>
      </xdr:nvSpPr>
      <xdr:spPr>
        <a:xfrm>
          <a:off x="133350" y="2723515"/>
          <a:ext cx="1847850" cy="460375"/>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03  Controls</a:t>
          </a:r>
        </a:p>
      </xdr:txBody>
    </xdr:sp>
    <xdr:clientData/>
  </xdr:twoCellAnchor>
  <xdr:twoCellAnchor editAs="absolute">
    <xdr:from>
      <xdr:col>0</xdr:col>
      <xdr:colOff>133350</xdr:colOff>
      <xdr:row>7</xdr:row>
      <xdr:rowOff>403860</xdr:rowOff>
    </xdr:from>
    <xdr:to>
      <xdr:col>3</xdr:col>
      <xdr:colOff>323850</xdr:colOff>
      <xdr:row>8</xdr:row>
      <xdr:rowOff>137160</xdr:rowOff>
    </xdr:to>
    <xdr:sp macro="" textlink="">
      <xdr:nvSpPr>
        <xdr:cNvPr id="7" name="NAV|Evidence Tracker|04  Evidence" descr="Evidence Tracker navigation: Evidence Tracker (current page)">
          <a:hlinkClick xmlns:r="http://schemas.openxmlformats.org/officeDocument/2006/relationships" r:id="rId4" tooltip="Open Evidence Tracker"/>
          <a:extLst>
            <a:ext uri="{FF2B5EF4-FFF2-40B4-BE49-F238E27FC236}">
              <a16:creationId xmlns:a16="http://schemas.microsoft.com/office/drawing/2014/main" id="{00000000-0008-0000-0300-000007000000}"/>
            </a:ext>
          </a:extLst>
        </xdr:cNvPr>
        <xdr:cNvSpPr>
          <a:spLocks noGrp="1"/>
        </xdr:cNvSpPr>
      </xdr:nvSpPr>
      <xdr:spPr>
        <a:xfrm>
          <a:off x="133350" y="3261360"/>
          <a:ext cx="1847850" cy="457200"/>
        </a:xfrm>
        <a:prstGeom prst="roundRect">
          <a:avLst/>
        </a:prstGeom>
        <a:solidFill>
          <a:srgbClr val="35E1D1"/>
        </a:solidFill>
        <a:ln w="9525">
          <a:solidFill>
            <a:srgbClr val="35E1D1"/>
          </a:solidFill>
        </a:ln>
      </xdr:spPr>
      <xdr:txBody>
        <a:bodyPr wrap="square" lIns="0" tIns="0" rIns="0" bIns="0" anchor="ctr"/>
        <a:lstStyle/>
        <a:p>
          <a:pPr algn="ctr"/>
          <a:r>
            <a:rPr lang="en-US" sz="1100" b="1">
              <a:solidFill>
                <a:srgbClr val="081323"/>
              </a:solidFill>
              <a:latin typeface="Arial"/>
            </a:rPr>
            <a:t>04  Evidence</a:t>
          </a:r>
        </a:p>
      </xdr:txBody>
    </xdr:sp>
    <xdr:clientData/>
  </xdr:twoCellAnchor>
  <xdr:twoCellAnchor editAs="absolute">
    <xdr:from>
      <xdr:col>0</xdr:col>
      <xdr:colOff>133350</xdr:colOff>
      <xdr:row>8</xdr:row>
      <xdr:rowOff>214630</xdr:rowOff>
    </xdr:from>
    <xdr:to>
      <xdr:col>3</xdr:col>
      <xdr:colOff>323850</xdr:colOff>
      <xdr:row>8</xdr:row>
      <xdr:rowOff>661372</xdr:rowOff>
    </xdr:to>
    <xdr:sp macro="" textlink="">
      <xdr:nvSpPr>
        <xdr:cNvPr id="8" name="NAV|Remediation Tracker|05  Remediation" descr="Evidence Tracker navigation: Remediation Tracker">
          <a:hlinkClick xmlns:r="http://schemas.openxmlformats.org/officeDocument/2006/relationships" r:id="rId5" tooltip="Open Remediation Tracker"/>
          <a:extLst>
            <a:ext uri="{FF2B5EF4-FFF2-40B4-BE49-F238E27FC236}">
              <a16:creationId xmlns:a16="http://schemas.microsoft.com/office/drawing/2014/main" id="{00000000-0008-0000-0300-000008000000}"/>
            </a:ext>
          </a:extLst>
        </xdr:cNvPr>
        <xdr:cNvSpPr>
          <a:spLocks noGrp="1"/>
        </xdr:cNvSpPr>
      </xdr:nvSpPr>
      <xdr:spPr>
        <a:xfrm>
          <a:off x="133350" y="3796030"/>
          <a:ext cx="1847850" cy="4445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05  Remediation</a:t>
          </a:r>
        </a:p>
      </xdr:txBody>
    </xdr:sp>
    <xdr:clientData/>
  </xdr:twoCellAnchor>
  <xdr:twoCellAnchor editAs="absolute">
    <xdr:from>
      <xdr:col>0</xdr:col>
      <xdr:colOff>133350</xdr:colOff>
      <xdr:row>8</xdr:row>
      <xdr:rowOff>738842</xdr:rowOff>
    </xdr:from>
    <xdr:to>
      <xdr:col>3</xdr:col>
      <xdr:colOff>323850</xdr:colOff>
      <xdr:row>8</xdr:row>
      <xdr:rowOff>1190812</xdr:rowOff>
    </xdr:to>
    <xdr:sp macro="" textlink="">
      <xdr:nvSpPr>
        <xdr:cNvPr id="9" name="NAV|Scoring Methodology|06  Scoring" descr="Evidence Tracker navigation: Scoring Methodology">
          <a:hlinkClick xmlns:r="http://schemas.openxmlformats.org/officeDocument/2006/relationships" r:id="rId6" tooltip="Open Scoring Methodology"/>
          <a:extLst>
            <a:ext uri="{FF2B5EF4-FFF2-40B4-BE49-F238E27FC236}">
              <a16:creationId xmlns:a16="http://schemas.microsoft.com/office/drawing/2014/main" id="{00000000-0008-0000-0300-000009000000}"/>
            </a:ext>
          </a:extLst>
        </xdr:cNvPr>
        <xdr:cNvSpPr>
          <a:spLocks noGrp="1"/>
        </xdr:cNvSpPr>
      </xdr:nvSpPr>
      <xdr:spPr>
        <a:xfrm>
          <a:off x="133350" y="4318000"/>
          <a:ext cx="1847850" cy="45085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06  Scoring</a:t>
          </a:r>
        </a:p>
      </xdr:txBody>
    </xdr:sp>
    <xdr:clientData/>
  </xdr:twoCellAnchor>
  <xdr:twoCellAnchor editAs="absolute">
    <xdr:from>
      <xdr:col>0</xdr:col>
      <xdr:colOff>133350</xdr:colOff>
      <xdr:row>8</xdr:row>
      <xdr:rowOff>1268282</xdr:rowOff>
    </xdr:from>
    <xdr:to>
      <xdr:col>3</xdr:col>
      <xdr:colOff>323850</xdr:colOff>
      <xdr:row>9</xdr:row>
      <xdr:rowOff>269464</xdr:rowOff>
    </xdr:to>
    <xdr:sp macro="" textlink="">
      <xdr:nvSpPr>
        <xdr:cNvPr id="10" name="NAV|Instructions|07  Guide" descr="Evidence Tracker navigation: Instructions">
          <a:hlinkClick xmlns:r="http://schemas.openxmlformats.org/officeDocument/2006/relationships" r:id="rId7" tooltip="Open Instructions"/>
          <a:extLst>
            <a:ext uri="{FF2B5EF4-FFF2-40B4-BE49-F238E27FC236}">
              <a16:creationId xmlns:a16="http://schemas.microsoft.com/office/drawing/2014/main" id="{00000000-0008-0000-0300-00000A000000}"/>
            </a:ext>
          </a:extLst>
        </xdr:cNvPr>
        <xdr:cNvSpPr>
          <a:spLocks noGrp="1"/>
        </xdr:cNvSpPr>
      </xdr:nvSpPr>
      <xdr:spPr>
        <a:xfrm>
          <a:off x="133350" y="583057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07  Guide</a:t>
          </a:r>
        </a:p>
      </xdr:txBody>
    </xdr:sp>
    <xdr:clientData/>
  </xdr:twoCellAnchor>
  <xdr:oneCellAnchor>
    <xdr:from>
      <xdr:col>1</xdr:col>
      <xdr:colOff>142875</xdr:colOff>
      <xdr:row>0</xdr:row>
      <xdr:rowOff>95250</xdr:rowOff>
    </xdr:from>
    <xdr:ext cx="781050" cy="781050"/>
    <xdr:pic>
      <xdr:nvPicPr>
        <xdr:cNvPr id="12" name="b25e4016-d6cc-4b62-bcef-15f7a5963b8f">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4</xdr:col>
      <xdr:colOff>228600</xdr:colOff>
      <xdr:row>0</xdr:row>
      <xdr:rowOff>66675</xdr:rowOff>
    </xdr:from>
    <xdr:to>
      <xdr:col>15</xdr:col>
      <xdr:colOff>3911600</xdr:colOff>
      <xdr:row>1</xdr:row>
      <xdr:rowOff>314325</xdr:rowOff>
    </xdr:to>
    <xdr:sp macro="" textlink="">
      <xdr:nvSpPr>
        <xdr:cNvPr id="2" name="TITLE|REMEDIATION TRACKER">
          <a:extLst>
            <a:ext uri="{FF2B5EF4-FFF2-40B4-BE49-F238E27FC236}">
              <a16:creationId xmlns:a16="http://schemas.microsoft.com/office/drawing/2014/main" id="{00000000-0008-0000-0400-000002000000}"/>
            </a:ext>
          </a:extLst>
        </xdr:cNvPr>
        <xdr:cNvSpPr>
          <a:spLocks noGrp="1"/>
        </xdr:cNvSpPr>
      </xdr:nvSpPr>
      <xdr:spPr>
        <a:xfrm>
          <a:off x="2463800" y="66675"/>
          <a:ext cx="23495000" cy="609600"/>
        </a:xfrm>
        <a:prstGeom prst="rect">
          <a:avLst/>
        </a:prstGeom>
        <a:solidFill>
          <a:srgbClr val="081323"/>
        </a:solidFill>
        <a:ln w="0">
          <a:solidFill>
            <a:srgbClr val="081323"/>
          </a:solidFill>
        </a:ln>
      </xdr:spPr>
      <xdr:txBody>
        <a:bodyPr wrap="square" lIns="0" tIns="0" rIns="0" bIns="0" anchor="ctr"/>
        <a:lstStyle/>
        <a:p>
          <a:pPr algn="ctr"/>
          <a:r>
            <a:rPr lang="en-US" sz="2300" b="1">
              <a:solidFill>
                <a:srgbClr val="EAF6FF"/>
              </a:solidFill>
              <a:latin typeface="Arial"/>
            </a:rPr>
            <a:t>REMEDIATION TRACKER</a:t>
          </a:r>
        </a:p>
      </xdr:txBody>
    </xdr:sp>
    <xdr:clientData/>
  </xdr:twoCellAnchor>
  <xdr:oneCellAnchor>
    <xdr:from>
      <xdr:col>0</xdr:col>
      <xdr:colOff>76200</xdr:colOff>
      <xdr:row>3</xdr:row>
      <xdr:rowOff>19050</xdr:rowOff>
    </xdr:from>
    <xdr:ext cx="1981200" cy="381000"/>
    <xdr:sp macro="" textlink="">
      <xdr:nvSpPr>
        <xdr:cNvPr id="3" name="BRAND|CYBERSECURITY&#10;GRC PORTFOLIO">
          <a:extLst>
            <a:ext uri="{FF2B5EF4-FFF2-40B4-BE49-F238E27FC236}">
              <a16:creationId xmlns:a16="http://schemas.microsoft.com/office/drawing/2014/main" id="{00000000-0008-0000-0400-000003000000}"/>
            </a:ext>
          </a:extLst>
        </xdr:cNvPr>
        <xdr:cNvSpPr>
          <a:spLocks noGrp="1"/>
        </xdr:cNvSpPr>
      </xdr:nvSpPr>
      <xdr:spPr>
        <a:xfrm>
          <a:off x="76200" y="933450"/>
          <a:ext cx="1981200" cy="381000"/>
        </a:xfrm>
        <a:prstGeom prst="rect">
          <a:avLst/>
        </a:prstGeom>
        <a:solidFill>
          <a:srgbClr val="10263A"/>
        </a:solidFill>
        <a:ln w="0">
          <a:solidFill>
            <a:srgbClr val="10263A"/>
          </a:solidFill>
        </a:ln>
      </xdr:spPr>
      <xdr:txBody>
        <a:bodyPr wrap="square" lIns="0" tIns="0" rIns="0" bIns="0" anchor="ctr"/>
        <a:lstStyle/>
        <a:p>
          <a:pPr algn="ctr"/>
          <a:r>
            <a:rPr lang="en-US" sz="1100" b="1">
              <a:solidFill>
                <a:srgbClr val="FFFFFF"/>
              </a:solidFill>
              <a:latin typeface="Arial"/>
            </a:rPr>
            <a:t>CYBERSECURITY</a:t>
          </a:r>
        </a:p>
        <a:p>
          <a:pPr algn="ctr"/>
          <a:r>
            <a:rPr lang="en-US" sz="1100" b="1">
              <a:solidFill>
                <a:srgbClr val="FFFFFF"/>
              </a:solidFill>
              <a:latin typeface="Arial"/>
            </a:rPr>
            <a:t>GRC PORTFOLIO</a:t>
          </a:r>
        </a:p>
      </xdr:txBody>
    </xdr:sp>
    <xdr:clientData/>
  </xdr:oneCellAnchor>
  <xdr:twoCellAnchor editAs="absolute">
    <xdr:from>
      <xdr:col>0</xdr:col>
      <xdr:colOff>133350</xdr:colOff>
      <xdr:row>5</xdr:row>
      <xdr:rowOff>285750</xdr:rowOff>
    </xdr:from>
    <xdr:to>
      <xdr:col>3</xdr:col>
      <xdr:colOff>323850</xdr:colOff>
      <xdr:row>6</xdr:row>
      <xdr:rowOff>158750</xdr:rowOff>
    </xdr:to>
    <xdr:sp macro="" textlink="">
      <xdr:nvSpPr>
        <xdr:cNvPr id="4" name="NAV|Dashboard|01  Dashboard" descr="Remediation Tracker navigation: Dashboard">
          <a:hlinkClick xmlns:r="http://schemas.openxmlformats.org/officeDocument/2006/relationships" r:id="rId1" tooltip="Open Dashboard"/>
          <a:extLst>
            <a:ext uri="{FF2B5EF4-FFF2-40B4-BE49-F238E27FC236}">
              <a16:creationId xmlns:a16="http://schemas.microsoft.com/office/drawing/2014/main" id="{00000000-0008-0000-0400-000004000000}"/>
            </a:ext>
          </a:extLst>
        </xdr:cNvPr>
        <xdr:cNvSpPr>
          <a:spLocks noGrp="1"/>
        </xdr:cNvSpPr>
      </xdr:nvSpPr>
      <xdr:spPr>
        <a:xfrm>
          <a:off x="133350" y="167005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01  Dashboard</a:t>
          </a:r>
        </a:p>
      </xdr:txBody>
    </xdr:sp>
    <xdr:clientData/>
  </xdr:twoCellAnchor>
  <xdr:twoCellAnchor editAs="absolute">
    <xdr:from>
      <xdr:col>0</xdr:col>
      <xdr:colOff>133350</xdr:colOff>
      <xdr:row>6</xdr:row>
      <xdr:rowOff>329353</xdr:rowOff>
    </xdr:from>
    <xdr:to>
      <xdr:col>3</xdr:col>
      <xdr:colOff>323850</xdr:colOff>
      <xdr:row>6</xdr:row>
      <xdr:rowOff>786553</xdr:rowOff>
    </xdr:to>
    <xdr:sp macro="" textlink="">
      <xdr:nvSpPr>
        <xdr:cNvPr id="5" name="NAV|Risk Register|02  Risk register" descr="Remediation Tracker navigation: Risk Register">
          <a:hlinkClick xmlns:r="http://schemas.openxmlformats.org/officeDocument/2006/relationships" r:id="rId2" tooltip="Open Risk Register"/>
          <a:extLst>
            <a:ext uri="{FF2B5EF4-FFF2-40B4-BE49-F238E27FC236}">
              <a16:creationId xmlns:a16="http://schemas.microsoft.com/office/drawing/2014/main" id="{00000000-0008-0000-0400-000005000000}"/>
            </a:ext>
          </a:extLst>
        </xdr:cNvPr>
        <xdr:cNvSpPr>
          <a:spLocks noGrp="1"/>
        </xdr:cNvSpPr>
      </xdr:nvSpPr>
      <xdr:spPr>
        <a:xfrm>
          <a:off x="133350" y="2297853"/>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02  Risk register</a:t>
          </a:r>
        </a:p>
      </xdr:txBody>
    </xdr:sp>
    <xdr:clientData/>
  </xdr:twoCellAnchor>
  <xdr:twoCellAnchor editAs="absolute">
    <xdr:from>
      <xdr:col>0</xdr:col>
      <xdr:colOff>146050</xdr:colOff>
      <xdr:row>7</xdr:row>
      <xdr:rowOff>55456</xdr:rowOff>
    </xdr:from>
    <xdr:to>
      <xdr:col>3</xdr:col>
      <xdr:colOff>336550</xdr:colOff>
      <xdr:row>7</xdr:row>
      <xdr:rowOff>512656</xdr:rowOff>
    </xdr:to>
    <xdr:sp macro="" textlink="">
      <xdr:nvSpPr>
        <xdr:cNvPr id="6" name="NAV|Control Assessment|03  Controls" descr="Remediation Tracker navigation: Control Assessment">
          <a:hlinkClick xmlns:r="http://schemas.openxmlformats.org/officeDocument/2006/relationships" r:id="rId3" tooltip="Open Control Assessment"/>
          <a:extLst>
            <a:ext uri="{FF2B5EF4-FFF2-40B4-BE49-F238E27FC236}">
              <a16:creationId xmlns:a16="http://schemas.microsoft.com/office/drawing/2014/main" id="{00000000-0008-0000-0400-000006000000}"/>
            </a:ext>
          </a:extLst>
        </xdr:cNvPr>
        <xdr:cNvSpPr>
          <a:spLocks noGrp="1"/>
        </xdr:cNvSpPr>
      </xdr:nvSpPr>
      <xdr:spPr>
        <a:xfrm>
          <a:off x="146050" y="2925656"/>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03  Controls</a:t>
          </a:r>
        </a:p>
      </xdr:txBody>
    </xdr:sp>
    <xdr:clientData/>
  </xdr:twoCellAnchor>
  <xdr:twoCellAnchor editAs="absolute">
    <xdr:from>
      <xdr:col>0</xdr:col>
      <xdr:colOff>133350</xdr:colOff>
      <xdr:row>7</xdr:row>
      <xdr:rowOff>683259</xdr:rowOff>
    </xdr:from>
    <xdr:to>
      <xdr:col>3</xdr:col>
      <xdr:colOff>323850</xdr:colOff>
      <xdr:row>8</xdr:row>
      <xdr:rowOff>410209</xdr:rowOff>
    </xdr:to>
    <xdr:sp macro="" textlink="">
      <xdr:nvSpPr>
        <xdr:cNvPr id="7" name="NAV|Evidence Tracker|04  Evidence" descr="Remediation Tracker navigation: Evidence Tracker">
          <a:hlinkClick xmlns:r="http://schemas.openxmlformats.org/officeDocument/2006/relationships" r:id="rId4" tooltip="Open Evidence Tracker"/>
          <a:extLst>
            <a:ext uri="{FF2B5EF4-FFF2-40B4-BE49-F238E27FC236}">
              <a16:creationId xmlns:a16="http://schemas.microsoft.com/office/drawing/2014/main" id="{00000000-0008-0000-0400-000007000000}"/>
            </a:ext>
          </a:extLst>
        </xdr:cNvPr>
        <xdr:cNvSpPr>
          <a:spLocks noGrp="1"/>
        </xdr:cNvSpPr>
      </xdr:nvSpPr>
      <xdr:spPr>
        <a:xfrm>
          <a:off x="133350" y="3553459"/>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04  Evidence</a:t>
          </a:r>
        </a:p>
      </xdr:txBody>
    </xdr:sp>
    <xdr:clientData/>
  </xdr:twoCellAnchor>
  <xdr:twoCellAnchor editAs="absolute">
    <xdr:from>
      <xdr:col>0</xdr:col>
      <xdr:colOff>133350</xdr:colOff>
      <xdr:row>8</xdr:row>
      <xdr:rowOff>580812</xdr:rowOff>
    </xdr:from>
    <xdr:to>
      <xdr:col>3</xdr:col>
      <xdr:colOff>323850</xdr:colOff>
      <xdr:row>8</xdr:row>
      <xdr:rowOff>1025312</xdr:rowOff>
    </xdr:to>
    <xdr:sp macro="" textlink="">
      <xdr:nvSpPr>
        <xdr:cNvPr id="8" name="NAV|Remediation Tracker|05  Remediation" descr="Remediation Tracker navigation: Remediation Tracker (current page)">
          <a:hlinkClick xmlns:r="http://schemas.openxmlformats.org/officeDocument/2006/relationships" r:id="rId5" tooltip="Open Remediation Tracker"/>
          <a:extLst>
            <a:ext uri="{FF2B5EF4-FFF2-40B4-BE49-F238E27FC236}">
              <a16:creationId xmlns:a16="http://schemas.microsoft.com/office/drawing/2014/main" id="{00000000-0008-0000-0400-000008000000}"/>
            </a:ext>
          </a:extLst>
        </xdr:cNvPr>
        <xdr:cNvSpPr>
          <a:spLocks noGrp="1"/>
        </xdr:cNvSpPr>
      </xdr:nvSpPr>
      <xdr:spPr>
        <a:xfrm>
          <a:off x="133350" y="4181262"/>
          <a:ext cx="1866900" cy="457200"/>
        </a:xfrm>
        <a:prstGeom prst="roundRect">
          <a:avLst/>
        </a:prstGeom>
        <a:solidFill>
          <a:srgbClr val="35E1D1"/>
        </a:solidFill>
        <a:ln w="9525">
          <a:solidFill>
            <a:srgbClr val="35E1D1"/>
          </a:solidFill>
        </a:ln>
      </xdr:spPr>
      <xdr:txBody>
        <a:bodyPr wrap="square" lIns="0" tIns="0" rIns="0" bIns="0" anchor="ctr"/>
        <a:lstStyle/>
        <a:p>
          <a:pPr algn="ctr"/>
          <a:r>
            <a:rPr lang="en-US" sz="1100" b="1">
              <a:solidFill>
                <a:srgbClr val="081323"/>
              </a:solidFill>
              <a:latin typeface="Arial"/>
            </a:rPr>
            <a:t>05  Remediation</a:t>
          </a:r>
        </a:p>
      </xdr:txBody>
    </xdr:sp>
    <xdr:clientData/>
  </xdr:twoCellAnchor>
  <xdr:twoCellAnchor editAs="absolute">
    <xdr:from>
      <xdr:col>0</xdr:col>
      <xdr:colOff>133350</xdr:colOff>
      <xdr:row>8</xdr:row>
      <xdr:rowOff>1195915</xdr:rowOff>
    </xdr:from>
    <xdr:to>
      <xdr:col>3</xdr:col>
      <xdr:colOff>323850</xdr:colOff>
      <xdr:row>8</xdr:row>
      <xdr:rowOff>1640415</xdr:rowOff>
    </xdr:to>
    <xdr:sp macro="" textlink="">
      <xdr:nvSpPr>
        <xdr:cNvPr id="9" name="NAV|Scoring Methodology|06  Scoring" descr="Remediation Tracker navigation: Scoring Methodology">
          <a:hlinkClick xmlns:r="http://schemas.openxmlformats.org/officeDocument/2006/relationships" r:id="rId6" tooltip="Open Scoring Methodology"/>
          <a:extLst>
            <a:ext uri="{FF2B5EF4-FFF2-40B4-BE49-F238E27FC236}">
              <a16:creationId xmlns:a16="http://schemas.microsoft.com/office/drawing/2014/main" id="{00000000-0008-0000-0400-000009000000}"/>
            </a:ext>
          </a:extLst>
        </xdr:cNvPr>
        <xdr:cNvSpPr>
          <a:spLocks noGrp="1"/>
        </xdr:cNvSpPr>
      </xdr:nvSpPr>
      <xdr:spPr>
        <a:xfrm>
          <a:off x="133350" y="4809065"/>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06  Scoring</a:t>
          </a:r>
        </a:p>
      </xdr:txBody>
    </xdr:sp>
    <xdr:clientData/>
  </xdr:twoCellAnchor>
  <xdr:twoCellAnchor editAs="absolute">
    <xdr:from>
      <xdr:col>0</xdr:col>
      <xdr:colOff>133350</xdr:colOff>
      <xdr:row>8</xdr:row>
      <xdr:rowOff>1811020</xdr:rowOff>
    </xdr:from>
    <xdr:to>
      <xdr:col>3</xdr:col>
      <xdr:colOff>323850</xdr:colOff>
      <xdr:row>9</xdr:row>
      <xdr:rowOff>271145</xdr:rowOff>
    </xdr:to>
    <xdr:sp macro="" textlink="">
      <xdr:nvSpPr>
        <xdr:cNvPr id="10" name="NAV|Instructions|07  Guide" descr="Remediation Tracker navigation: Instructions">
          <a:hlinkClick xmlns:r="http://schemas.openxmlformats.org/officeDocument/2006/relationships" r:id="rId7" tooltip="Open Instructions"/>
          <a:extLst>
            <a:ext uri="{FF2B5EF4-FFF2-40B4-BE49-F238E27FC236}">
              <a16:creationId xmlns:a16="http://schemas.microsoft.com/office/drawing/2014/main" id="{00000000-0008-0000-0400-00000A000000}"/>
            </a:ext>
          </a:extLst>
        </xdr:cNvPr>
        <xdr:cNvSpPr>
          <a:spLocks noGrp="1"/>
        </xdr:cNvSpPr>
      </xdr:nvSpPr>
      <xdr:spPr>
        <a:xfrm>
          <a:off x="133350" y="448437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07  Guide</a:t>
          </a:r>
        </a:p>
      </xdr:txBody>
    </xdr:sp>
    <xdr:clientData/>
  </xdr:twoCellAnchor>
  <xdr:oneCellAnchor>
    <xdr:from>
      <xdr:col>1</xdr:col>
      <xdr:colOff>142875</xdr:colOff>
      <xdr:row>0</xdr:row>
      <xdr:rowOff>95250</xdr:rowOff>
    </xdr:from>
    <xdr:ext cx="781050" cy="781050"/>
    <xdr:pic>
      <xdr:nvPicPr>
        <xdr:cNvPr id="12" name="f369c947-e89b-4ef8-b07b-79ecef668c7f">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4</xdr:col>
      <xdr:colOff>228600</xdr:colOff>
      <xdr:row>0</xdr:row>
      <xdr:rowOff>66675</xdr:rowOff>
    </xdr:from>
    <xdr:to>
      <xdr:col>15</xdr:col>
      <xdr:colOff>965200</xdr:colOff>
      <xdr:row>1</xdr:row>
      <xdr:rowOff>314325</xdr:rowOff>
    </xdr:to>
    <xdr:sp macro="" textlink="">
      <xdr:nvSpPr>
        <xdr:cNvPr id="2" name="TITLE|SCORING METHODOLOGY">
          <a:extLst>
            <a:ext uri="{FF2B5EF4-FFF2-40B4-BE49-F238E27FC236}">
              <a16:creationId xmlns:a16="http://schemas.microsoft.com/office/drawing/2014/main" id="{00000000-0008-0000-0500-000002000000}"/>
            </a:ext>
          </a:extLst>
        </xdr:cNvPr>
        <xdr:cNvSpPr>
          <a:spLocks noGrp="1"/>
        </xdr:cNvSpPr>
      </xdr:nvSpPr>
      <xdr:spPr>
        <a:xfrm>
          <a:off x="2463800" y="66675"/>
          <a:ext cx="15290800" cy="609600"/>
        </a:xfrm>
        <a:prstGeom prst="rect">
          <a:avLst/>
        </a:prstGeom>
        <a:solidFill>
          <a:srgbClr val="081323"/>
        </a:solidFill>
        <a:ln w="0">
          <a:solidFill>
            <a:srgbClr val="081323"/>
          </a:solidFill>
        </a:ln>
      </xdr:spPr>
      <xdr:txBody>
        <a:bodyPr wrap="square" lIns="0" tIns="0" rIns="0" bIns="0" anchor="ctr"/>
        <a:lstStyle/>
        <a:p>
          <a:pPr algn="ctr"/>
          <a:r>
            <a:rPr lang="en-US" sz="2300" b="1">
              <a:solidFill>
                <a:srgbClr val="EAF6FF"/>
              </a:solidFill>
              <a:latin typeface="Arial"/>
            </a:rPr>
            <a:t>SCORING METHODOLOGY</a:t>
          </a:r>
        </a:p>
      </xdr:txBody>
    </xdr:sp>
    <xdr:clientData/>
  </xdr:twoCellAnchor>
  <xdr:oneCellAnchor>
    <xdr:from>
      <xdr:col>0</xdr:col>
      <xdr:colOff>76200</xdr:colOff>
      <xdr:row>3</xdr:row>
      <xdr:rowOff>19050</xdr:rowOff>
    </xdr:from>
    <xdr:ext cx="1981200" cy="381000"/>
    <xdr:sp macro="" textlink="">
      <xdr:nvSpPr>
        <xdr:cNvPr id="3" name="BRAND|CYBERSECURITY&#10;GRC PORTFOLIO">
          <a:extLst>
            <a:ext uri="{FF2B5EF4-FFF2-40B4-BE49-F238E27FC236}">
              <a16:creationId xmlns:a16="http://schemas.microsoft.com/office/drawing/2014/main" id="{00000000-0008-0000-0500-000003000000}"/>
            </a:ext>
          </a:extLst>
        </xdr:cNvPr>
        <xdr:cNvSpPr>
          <a:spLocks noGrp="1"/>
        </xdr:cNvSpPr>
      </xdr:nvSpPr>
      <xdr:spPr>
        <a:xfrm>
          <a:off x="76200" y="933450"/>
          <a:ext cx="1981200" cy="381000"/>
        </a:xfrm>
        <a:prstGeom prst="rect">
          <a:avLst/>
        </a:prstGeom>
        <a:solidFill>
          <a:srgbClr val="10263A"/>
        </a:solidFill>
        <a:ln w="0">
          <a:solidFill>
            <a:srgbClr val="10263A"/>
          </a:solidFill>
        </a:ln>
      </xdr:spPr>
      <xdr:txBody>
        <a:bodyPr wrap="square" lIns="0" tIns="0" rIns="0" bIns="0" anchor="ctr"/>
        <a:lstStyle/>
        <a:p>
          <a:pPr algn="ctr"/>
          <a:r>
            <a:rPr lang="en-US" sz="1100" b="1">
              <a:solidFill>
                <a:srgbClr val="FFFFFF"/>
              </a:solidFill>
              <a:latin typeface="Arial"/>
            </a:rPr>
            <a:t>CYBERSECURITY</a:t>
          </a:r>
        </a:p>
        <a:p>
          <a:pPr algn="ctr"/>
          <a:r>
            <a:rPr lang="en-US" sz="1100" b="1">
              <a:solidFill>
                <a:srgbClr val="FFFFFF"/>
              </a:solidFill>
              <a:latin typeface="Arial"/>
            </a:rPr>
            <a:t>GRC PORTFOLIO</a:t>
          </a:r>
        </a:p>
      </xdr:txBody>
    </xdr:sp>
    <xdr:clientData/>
  </xdr:oneCellAnchor>
  <xdr:twoCellAnchor editAs="absolute">
    <xdr:from>
      <xdr:col>0</xdr:col>
      <xdr:colOff>133350</xdr:colOff>
      <xdr:row>5</xdr:row>
      <xdr:rowOff>285750</xdr:rowOff>
    </xdr:from>
    <xdr:to>
      <xdr:col>3</xdr:col>
      <xdr:colOff>323850</xdr:colOff>
      <xdr:row>7</xdr:row>
      <xdr:rowOff>82550</xdr:rowOff>
    </xdr:to>
    <xdr:sp macro="" textlink="">
      <xdr:nvSpPr>
        <xdr:cNvPr id="4" name="NAV|Dashboard|01  Dashboard" descr="Scoring Methodology navigation: Dashboard">
          <a:hlinkClick xmlns:r="http://schemas.openxmlformats.org/officeDocument/2006/relationships" r:id="rId1" tooltip="Open Dashboard"/>
          <a:extLst>
            <a:ext uri="{FF2B5EF4-FFF2-40B4-BE49-F238E27FC236}">
              <a16:creationId xmlns:a16="http://schemas.microsoft.com/office/drawing/2014/main" id="{00000000-0008-0000-0500-000004000000}"/>
            </a:ext>
          </a:extLst>
        </xdr:cNvPr>
        <xdr:cNvSpPr>
          <a:spLocks noGrp="1"/>
        </xdr:cNvSpPr>
      </xdr:nvSpPr>
      <xdr:spPr>
        <a:xfrm>
          <a:off x="133350" y="165735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01  Dashboard</a:t>
          </a:r>
        </a:p>
      </xdr:txBody>
    </xdr:sp>
    <xdr:clientData/>
  </xdr:twoCellAnchor>
  <xdr:twoCellAnchor editAs="absolute">
    <xdr:from>
      <xdr:col>0</xdr:col>
      <xdr:colOff>133350</xdr:colOff>
      <xdr:row>7</xdr:row>
      <xdr:rowOff>251460</xdr:rowOff>
    </xdr:from>
    <xdr:to>
      <xdr:col>3</xdr:col>
      <xdr:colOff>323850</xdr:colOff>
      <xdr:row>8</xdr:row>
      <xdr:rowOff>378460</xdr:rowOff>
    </xdr:to>
    <xdr:sp macro="" textlink="">
      <xdr:nvSpPr>
        <xdr:cNvPr id="5" name="NAV|Risk Register|02  Risk register" descr="Scoring Methodology navigation: Risk Register">
          <a:hlinkClick xmlns:r="http://schemas.openxmlformats.org/officeDocument/2006/relationships" r:id="rId2" tooltip="Open Risk Register"/>
          <a:extLst>
            <a:ext uri="{FF2B5EF4-FFF2-40B4-BE49-F238E27FC236}">
              <a16:creationId xmlns:a16="http://schemas.microsoft.com/office/drawing/2014/main" id="{00000000-0008-0000-0500-000005000000}"/>
            </a:ext>
          </a:extLst>
        </xdr:cNvPr>
        <xdr:cNvSpPr>
          <a:spLocks noGrp="1"/>
        </xdr:cNvSpPr>
      </xdr:nvSpPr>
      <xdr:spPr>
        <a:xfrm>
          <a:off x="133350" y="228600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02  Risk register</a:t>
          </a:r>
        </a:p>
      </xdr:txBody>
    </xdr:sp>
    <xdr:clientData/>
  </xdr:twoCellAnchor>
  <xdr:twoCellAnchor editAs="absolute">
    <xdr:from>
      <xdr:col>0</xdr:col>
      <xdr:colOff>133350</xdr:colOff>
      <xdr:row>9</xdr:row>
      <xdr:rowOff>64770</xdr:rowOff>
    </xdr:from>
    <xdr:to>
      <xdr:col>3</xdr:col>
      <xdr:colOff>323850</xdr:colOff>
      <xdr:row>10</xdr:row>
      <xdr:rowOff>39370</xdr:rowOff>
    </xdr:to>
    <xdr:sp macro="" textlink="">
      <xdr:nvSpPr>
        <xdr:cNvPr id="6" name="NAV|Control Assessment|03  Controls" descr="Scoring Methodology navigation: Control Assessment">
          <a:hlinkClick xmlns:r="http://schemas.openxmlformats.org/officeDocument/2006/relationships" r:id="rId3" tooltip="Open Control Assessment"/>
          <a:extLst>
            <a:ext uri="{FF2B5EF4-FFF2-40B4-BE49-F238E27FC236}">
              <a16:creationId xmlns:a16="http://schemas.microsoft.com/office/drawing/2014/main" id="{00000000-0008-0000-0500-000006000000}"/>
            </a:ext>
          </a:extLst>
        </xdr:cNvPr>
        <xdr:cNvSpPr>
          <a:spLocks noGrp="1"/>
        </xdr:cNvSpPr>
      </xdr:nvSpPr>
      <xdr:spPr>
        <a:xfrm>
          <a:off x="133350" y="291465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03  Controls</a:t>
          </a:r>
        </a:p>
      </xdr:txBody>
    </xdr:sp>
    <xdr:clientData/>
  </xdr:twoCellAnchor>
  <xdr:twoCellAnchor editAs="absolute">
    <xdr:from>
      <xdr:col>0</xdr:col>
      <xdr:colOff>133350</xdr:colOff>
      <xdr:row>10</xdr:row>
      <xdr:rowOff>209550</xdr:rowOff>
    </xdr:from>
    <xdr:to>
      <xdr:col>3</xdr:col>
      <xdr:colOff>323850</xdr:colOff>
      <xdr:row>11</xdr:row>
      <xdr:rowOff>184150</xdr:rowOff>
    </xdr:to>
    <xdr:sp macro="" textlink="">
      <xdr:nvSpPr>
        <xdr:cNvPr id="7" name="NAV|Evidence Tracker|04  Evidence" descr="Scoring Methodology navigation: Evidence Tracker">
          <a:hlinkClick xmlns:r="http://schemas.openxmlformats.org/officeDocument/2006/relationships" r:id="rId4" tooltip="Open Evidence Tracker"/>
          <a:extLst>
            <a:ext uri="{FF2B5EF4-FFF2-40B4-BE49-F238E27FC236}">
              <a16:creationId xmlns:a16="http://schemas.microsoft.com/office/drawing/2014/main" id="{00000000-0008-0000-0500-000007000000}"/>
            </a:ext>
          </a:extLst>
        </xdr:cNvPr>
        <xdr:cNvSpPr>
          <a:spLocks noGrp="1"/>
        </xdr:cNvSpPr>
      </xdr:nvSpPr>
      <xdr:spPr>
        <a:xfrm>
          <a:off x="133350" y="354330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04  Evidence</a:t>
          </a:r>
        </a:p>
      </xdr:txBody>
    </xdr:sp>
    <xdr:clientData/>
  </xdr:twoCellAnchor>
  <xdr:twoCellAnchor editAs="absolute">
    <xdr:from>
      <xdr:col>0</xdr:col>
      <xdr:colOff>133350</xdr:colOff>
      <xdr:row>11</xdr:row>
      <xdr:rowOff>354330</xdr:rowOff>
    </xdr:from>
    <xdr:to>
      <xdr:col>3</xdr:col>
      <xdr:colOff>323850</xdr:colOff>
      <xdr:row>12</xdr:row>
      <xdr:rowOff>328930</xdr:rowOff>
    </xdr:to>
    <xdr:sp macro="" textlink="">
      <xdr:nvSpPr>
        <xdr:cNvPr id="8" name="NAV|Remediation Tracker|05  Remediation" descr="Scoring Methodology navigation: Remediation Tracker">
          <a:hlinkClick xmlns:r="http://schemas.openxmlformats.org/officeDocument/2006/relationships" r:id="rId5" tooltip="Open Remediation Tracker"/>
          <a:extLst>
            <a:ext uri="{FF2B5EF4-FFF2-40B4-BE49-F238E27FC236}">
              <a16:creationId xmlns:a16="http://schemas.microsoft.com/office/drawing/2014/main" id="{00000000-0008-0000-0500-000008000000}"/>
            </a:ext>
          </a:extLst>
        </xdr:cNvPr>
        <xdr:cNvSpPr>
          <a:spLocks noGrp="1"/>
        </xdr:cNvSpPr>
      </xdr:nvSpPr>
      <xdr:spPr>
        <a:xfrm>
          <a:off x="133350" y="417195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05  Remediation</a:t>
          </a:r>
        </a:p>
      </xdr:txBody>
    </xdr:sp>
    <xdr:clientData/>
  </xdr:twoCellAnchor>
  <xdr:twoCellAnchor editAs="absolute">
    <xdr:from>
      <xdr:col>0</xdr:col>
      <xdr:colOff>133350</xdr:colOff>
      <xdr:row>13</xdr:row>
      <xdr:rowOff>15240</xdr:rowOff>
    </xdr:from>
    <xdr:to>
      <xdr:col>3</xdr:col>
      <xdr:colOff>323850</xdr:colOff>
      <xdr:row>14</xdr:row>
      <xdr:rowOff>142240</xdr:rowOff>
    </xdr:to>
    <xdr:sp macro="" textlink="">
      <xdr:nvSpPr>
        <xdr:cNvPr id="9" name="NAV|Scoring Methodology|06  Scoring" descr="Scoring Methodology navigation: Scoring Methodology (current page)">
          <a:hlinkClick xmlns:r="http://schemas.openxmlformats.org/officeDocument/2006/relationships" r:id="rId6" tooltip="Open Scoring Methodology"/>
          <a:extLst>
            <a:ext uri="{FF2B5EF4-FFF2-40B4-BE49-F238E27FC236}">
              <a16:creationId xmlns:a16="http://schemas.microsoft.com/office/drawing/2014/main" id="{00000000-0008-0000-0500-000009000000}"/>
            </a:ext>
          </a:extLst>
        </xdr:cNvPr>
        <xdr:cNvSpPr>
          <a:spLocks noGrp="1"/>
        </xdr:cNvSpPr>
      </xdr:nvSpPr>
      <xdr:spPr>
        <a:xfrm>
          <a:off x="133350" y="4800600"/>
          <a:ext cx="1866900" cy="457200"/>
        </a:xfrm>
        <a:prstGeom prst="roundRect">
          <a:avLst/>
        </a:prstGeom>
        <a:solidFill>
          <a:srgbClr val="35E1D1"/>
        </a:solidFill>
        <a:ln w="9525">
          <a:solidFill>
            <a:srgbClr val="35E1D1"/>
          </a:solidFill>
        </a:ln>
      </xdr:spPr>
      <xdr:txBody>
        <a:bodyPr wrap="square" lIns="0" tIns="0" rIns="0" bIns="0" anchor="ctr"/>
        <a:lstStyle/>
        <a:p>
          <a:pPr algn="ctr"/>
          <a:r>
            <a:rPr lang="en-US" sz="1100" b="1">
              <a:solidFill>
                <a:srgbClr val="081323"/>
              </a:solidFill>
              <a:latin typeface="Arial"/>
            </a:rPr>
            <a:t>06  Scoring</a:t>
          </a:r>
        </a:p>
      </xdr:txBody>
    </xdr:sp>
    <xdr:clientData/>
  </xdr:twoCellAnchor>
  <xdr:twoCellAnchor editAs="absolute">
    <xdr:from>
      <xdr:col>0</xdr:col>
      <xdr:colOff>133350</xdr:colOff>
      <xdr:row>14</xdr:row>
      <xdr:rowOff>312420</xdr:rowOff>
    </xdr:from>
    <xdr:to>
      <xdr:col>3</xdr:col>
      <xdr:colOff>323850</xdr:colOff>
      <xdr:row>16</xdr:row>
      <xdr:rowOff>109220</xdr:rowOff>
    </xdr:to>
    <xdr:sp macro="" textlink="">
      <xdr:nvSpPr>
        <xdr:cNvPr id="10" name="NAV|Instructions|07  Guide" descr="Scoring Methodology navigation: Instructions">
          <a:hlinkClick xmlns:r="http://schemas.openxmlformats.org/officeDocument/2006/relationships" r:id="rId7" tooltip="Open Instructions"/>
          <a:extLst>
            <a:ext uri="{FF2B5EF4-FFF2-40B4-BE49-F238E27FC236}">
              <a16:creationId xmlns:a16="http://schemas.microsoft.com/office/drawing/2014/main" id="{00000000-0008-0000-0500-00000A000000}"/>
            </a:ext>
          </a:extLst>
        </xdr:cNvPr>
        <xdr:cNvSpPr>
          <a:spLocks noGrp="1"/>
        </xdr:cNvSpPr>
      </xdr:nvSpPr>
      <xdr:spPr>
        <a:xfrm>
          <a:off x="133350" y="542925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07  Guide</a:t>
          </a:r>
        </a:p>
      </xdr:txBody>
    </xdr:sp>
    <xdr:clientData/>
  </xdr:twoCellAnchor>
  <xdr:oneCellAnchor>
    <xdr:from>
      <xdr:col>1</xdr:col>
      <xdr:colOff>142875</xdr:colOff>
      <xdr:row>0</xdr:row>
      <xdr:rowOff>95250</xdr:rowOff>
    </xdr:from>
    <xdr:ext cx="781050" cy="781050"/>
    <xdr:pic>
      <xdr:nvPicPr>
        <xdr:cNvPr id="12" name="4ac9d1ed-0187-43fb-8917-ff5b43f93390">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4</xdr:col>
      <xdr:colOff>228600</xdr:colOff>
      <xdr:row>0</xdr:row>
      <xdr:rowOff>66675</xdr:rowOff>
    </xdr:from>
    <xdr:to>
      <xdr:col>15</xdr:col>
      <xdr:colOff>939800</xdr:colOff>
      <xdr:row>1</xdr:row>
      <xdr:rowOff>314325</xdr:rowOff>
    </xdr:to>
    <xdr:sp macro="" textlink="">
      <xdr:nvSpPr>
        <xdr:cNvPr id="2" name="TITLE|INSTRUCTIONS">
          <a:extLst>
            <a:ext uri="{FF2B5EF4-FFF2-40B4-BE49-F238E27FC236}">
              <a16:creationId xmlns:a16="http://schemas.microsoft.com/office/drawing/2014/main" id="{00000000-0008-0000-0600-000002000000}"/>
            </a:ext>
          </a:extLst>
        </xdr:cNvPr>
        <xdr:cNvSpPr>
          <a:spLocks noGrp="1"/>
        </xdr:cNvSpPr>
      </xdr:nvSpPr>
      <xdr:spPr>
        <a:xfrm>
          <a:off x="2463800" y="66675"/>
          <a:ext cx="11607800" cy="609600"/>
        </a:xfrm>
        <a:prstGeom prst="rect">
          <a:avLst/>
        </a:prstGeom>
        <a:solidFill>
          <a:srgbClr val="081323"/>
        </a:solidFill>
        <a:ln w="0">
          <a:solidFill>
            <a:srgbClr val="081323"/>
          </a:solidFill>
        </a:ln>
      </xdr:spPr>
      <xdr:txBody>
        <a:bodyPr wrap="square" lIns="0" tIns="0" rIns="0" bIns="0" anchor="ctr"/>
        <a:lstStyle/>
        <a:p>
          <a:pPr algn="ctr"/>
          <a:r>
            <a:rPr lang="en-US" sz="2300" b="1">
              <a:solidFill>
                <a:srgbClr val="EAF6FF"/>
              </a:solidFill>
              <a:latin typeface="Arial"/>
            </a:rPr>
            <a:t>INSTRUCTIONS</a:t>
          </a:r>
        </a:p>
      </xdr:txBody>
    </xdr:sp>
    <xdr:clientData/>
  </xdr:twoCellAnchor>
  <xdr:oneCellAnchor>
    <xdr:from>
      <xdr:col>0</xdr:col>
      <xdr:colOff>76200</xdr:colOff>
      <xdr:row>3</xdr:row>
      <xdr:rowOff>19050</xdr:rowOff>
    </xdr:from>
    <xdr:ext cx="1981200" cy="381000"/>
    <xdr:sp macro="" textlink="">
      <xdr:nvSpPr>
        <xdr:cNvPr id="3" name="BRAND|CYBERSECURITY&#10;GRC PORTFOLIO">
          <a:extLst>
            <a:ext uri="{FF2B5EF4-FFF2-40B4-BE49-F238E27FC236}">
              <a16:creationId xmlns:a16="http://schemas.microsoft.com/office/drawing/2014/main" id="{00000000-0008-0000-0600-000003000000}"/>
            </a:ext>
          </a:extLst>
        </xdr:cNvPr>
        <xdr:cNvSpPr>
          <a:spLocks noGrp="1"/>
        </xdr:cNvSpPr>
      </xdr:nvSpPr>
      <xdr:spPr>
        <a:xfrm>
          <a:off x="76200" y="933450"/>
          <a:ext cx="1981200" cy="381000"/>
        </a:xfrm>
        <a:prstGeom prst="rect">
          <a:avLst/>
        </a:prstGeom>
        <a:solidFill>
          <a:srgbClr val="10263A"/>
        </a:solidFill>
        <a:ln w="0">
          <a:solidFill>
            <a:srgbClr val="10263A"/>
          </a:solidFill>
        </a:ln>
      </xdr:spPr>
      <xdr:txBody>
        <a:bodyPr wrap="square" lIns="0" tIns="0" rIns="0" bIns="0" anchor="ctr"/>
        <a:lstStyle/>
        <a:p>
          <a:pPr algn="ctr"/>
          <a:r>
            <a:rPr lang="en-US" sz="1100" b="1">
              <a:solidFill>
                <a:srgbClr val="FFFFFF"/>
              </a:solidFill>
              <a:latin typeface="Arial"/>
            </a:rPr>
            <a:t>CYBERSECURITY</a:t>
          </a:r>
        </a:p>
        <a:p>
          <a:pPr algn="ctr"/>
          <a:r>
            <a:rPr lang="en-US" sz="1100" b="1">
              <a:solidFill>
                <a:srgbClr val="FFFFFF"/>
              </a:solidFill>
              <a:latin typeface="Arial"/>
            </a:rPr>
            <a:t>GRC PORTFOLIO</a:t>
          </a:r>
        </a:p>
      </xdr:txBody>
    </xdr:sp>
    <xdr:clientData/>
  </xdr:oneCellAnchor>
  <xdr:twoCellAnchor editAs="absolute">
    <xdr:from>
      <xdr:col>0</xdr:col>
      <xdr:colOff>133350</xdr:colOff>
      <xdr:row>5</xdr:row>
      <xdr:rowOff>285750</xdr:rowOff>
    </xdr:from>
    <xdr:to>
      <xdr:col>3</xdr:col>
      <xdr:colOff>323850</xdr:colOff>
      <xdr:row>7</xdr:row>
      <xdr:rowOff>82550</xdr:rowOff>
    </xdr:to>
    <xdr:sp macro="" textlink="">
      <xdr:nvSpPr>
        <xdr:cNvPr id="4" name="NAV|Dashboard|01  Dashboard" descr="Instructions navigation: Dashboard">
          <a:hlinkClick xmlns:r="http://schemas.openxmlformats.org/officeDocument/2006/relationships" r:id="rId1" tooltip="Open Dashboard"/>
          <a:extLst>
            <a:ext uri="{FF2B5EF4-FFF2-40B4-BE49-F238E27FC236}">
              <a16:creationId xmlns:a16="http://schemas.microsoft.com/office/drawing/2014/main" id="{00000000-0008-0000-0600-000004000000}"/>
            </a:ext>
          </a:extLst>
        </xdr:cNvPr>
        <xdr:cNvSpPr>
          <a:spLocks noGrp="1"/>
        </xdr:cNvSpPr>
      </xdr:nvSpPr>
      <xdr:spPr>
        <a:xfrm>
          <a:off x="133350" y="165735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01  Dashboard</a:t>
          </a:r>
        </a:p>
      </xdr:txBody>
    </xdr:sp>
    <xdr:clientData/>
  </xdr:twoCellAnchor>
  <xdr:twoCellAnchor editAs="absolute">
    <xdr:from>
      <xdr:col>0</xdr:col>
      <xdr:colOff>133350</xdr:colOff>
      <xdr:row>7</xdr:row>
      <xdr:rowOff>251460</xdr:rowOff>
    </xdr:from>
    <xdr:to>
      <xdr:col>3</xdr:col>
      <xdr:colOff>323850</xdr:colOff>
      <xdr:row>9</xdr:row>
      <xdr:rowOff>48260</xdr:rowOff>
    </xdr:to>
    <xdr:sp macro="" textlink="">
      <xdr:nvSpPr>
        <xdr:cNvPr id="5" name="NAV|Risk Register|02  Risk register" descr="Instructions navigation: Risk Register">
          <a:hlinkClick xmlns:r="http://schemas.openxmlformats.org/officeDocument/2006/relationships" r:id="rId2" tooltip="Open Risk Register"/>
          <a:extLst>
            <a:ext uri="{FF2B5EF4-FFF2-40B4-BE49-F238E27FC236}">
              <a16:creationId xmlns:a16="http://schemas.microsoft.com/office/drawing/2014/main" id="{00000000-0008-0000-0600-000005000000}"/>
            </a:ext>
          </a:extLst>
        </xdr:cNvPr>
        <xdr:cNvSpPr>
          <a:spLocks noGrp="1"/>
        </xdr:cNvSpPr>
      </xdr:nvSpPr>
      <xdr:spPr>
        <a:xfrm>
          <a:off x="133350" y="228600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02  Risk register</a:t>
          </a:r>
        </a:p>
      </xdr:txBody>
    </xdr:sp>
    <xdr:clientData/>
  </xdr:twoCellAnchor>
  <xdr:twoCellAnchor editAs="absolute">
    <xdr:from>
      <xdr:col>0</xdr:col>
      <xdr:colOff>133350</xdr:colOff>
      <xdr:row>9</xdr:row>
      <xdr:rowOff>217170</xdr:rowOff>
    </xdr:from>
    <xdr:to>
      <xdr:col>3</xdr:col>
      <xdr:colOff>323850</xdr:colOff>
      <xdr:row>11</xdr:row>
      <xdr:rowOff>13970</xdr:rowOff>
    </xdr:to>
    <xdr:sp macro="" textlink="">
      <xdr:nvSpPr>
        <xdr:cNvPr id="6" name="NAV|Control Assessment|03  Controls" descr="Instructions navigation: Control Assessment">
          <a:hlinkClick xmlns:r="http://schemas.openxmlformats.org/officeDocument/2006/relationships" r:id="rId3" tooltip="Open Control Assessment"/>
          <a:extLst>
            <a:ext uri="{FF2B5EF4-FFF2-40B4-BE49-F238E27FC236}">
              <a16:creationId xmlns:a16="http://schemas.microsoft.com/office/drawing/2014/main" id="{00000000-0008-0000-0600-000006000000}"/>
            </a:ext>
          </a:extLst>
        </xdr:cNvPr>
        <xdr:cNvSpPr>
          <a:spLocks noGrp="1"/>
        </xdr:cNvSpPr>
      </xdr:nvSpPr>
      <xdr:spPr>
        <a:xfrm>
          <a:off x="133350" y="291465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03  Controls</a:t>
          </a:r>
        </a:p>
      </xdr:txBody>
    </xdr:sp>
    <xdr:clientData/>
  </xdr:twoCellAnchor>
  <xdr:twoCellAnchor editAs="absolute">
    <xdr:from>
      <xdr:col>0</xdr:col>
      <xdr:colOff>133350</xdr:colOff>
      <xdr:row>11</xdr:row>
      <xdr:rowOff>182880</xdr:rowOff>
    </xdr:from>
    <xdr:to>
      <xdr:col>3</xdr:col>
      <xdr:colOff>323850</xdr:colOff>
      <xdr:row>12</xdr:row>
      <xdr:rowOff>309880</xdr:rowOff>
    </xdr:to>
    <xdr:sp macro="" textlink="">
      <xdr:nvSpPr>
        <xdr:cNvPr id="7" name="NAV|Evidence Tracker|04  Evidence" descr="Instructions navigation: Evidence Tracker">
          <a:hlinkClick xmlns:r="http://schemas.openxmlformats.org/officeDocument/2006/relationships" r:id="rId4" tooltip="Open Evidence Tracker"/>
          <a:extLst>
            <a:ext uri="{FF2B5EF4-FFF2-40B4-BE49-F238E27FC236}">
              <a16:creationId xmlns:a16="http://schemas.microsoft.com/office/drawing/2014/main" id="{00000000-0008-0000-0600-000007000000}"/>
            </a:ext>
          </a:extLst>
        </xdr:cNvPr>
        <xdr:cNvSpPr>
          <a:spLocks noGrp="1"/>
        </xdr:cNvSpPr>
      </xdr:nvSpPr>
      <xdr:spPr>
        <a:xfrm>
          <a:off x="133350" y="354330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04  Evidence</a:t>
          </a:r>
        </a:p>
      </xdr:txBody>
    </xdr:sp>
    <xdr:clientData/>
  </xdr:twoCellAnchor>
  <xdr:twoCellAnchor editAs="absolute">
    <xdr:from>
      <xdr:col>0</xdr:col>
      <xdr:colOff>133350</xdr:colOff>
      <xdr:row>13</xdr:row>
      <xdr:rowOff>148590</xdr:rowOff>
    </xdr:from>
    <xdr:to>
      <xdr:col>3</xdr:col>
      <xdr:colOff>323850</xdr:colOff>
      <xdr:row>14</xdr:row>
      <xdr:rowOff>275590</xdr:rowOff>
    </xdr:to>
    <xdr:sp macro="" textlink="">
      <xdr:nvSpPr>
        <xdr:cNvPr id="8" name="NAV|Remediation Tracker|05  Remediation" descr="Instructions navigation: Remediation Tracker">
          <a:hlinkClick xmlns:r="http://schemas.openxmlformats.org/officeDocument/2006/relationships" r:id="rId5" tooltip="Open Remediation Tracker"/>
          <a:extLst>
            <a:ext uri="{FF2B5EF4-FFF2-40B4-BE49-F238E27FC236}">
              <a16:creationId xmlns:a16="http://schemas.microsoft.com/office/drawing/2014/main" id="{00000000-0008-0000-0600-000008000000}"/>
            </a:ext>
          </a:extLst>
        </xdr:cNvPr>
        <xdr:cNvSpPr>
          <a:spLocks noGrp="1"/>
        </xdr:cNvSpPr>
      </xdr:nvSpPr>
      <xdr:spPr>
        <a:xfrm>
          <a:off x="133350" y="417195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05  Remediation</a:t>
          </a:r>
        </a:p>
      </xdr:txBody>
    </xdr:sp>
    <xdr:clientData/>
  </xdr:twoCellAnchor>
  <xdr:twoCellAnchor editAs="absolute">
    <xdr:from>
      <xdr:col>0</xdr:col>
      <xdr:colOff>133350</xdr:colOff>
      <xdr:row>15</xdr:row>
      <xdr:rowOff>114300</xdr:rowOff>
    </xdr:from>
    <xdr:to>
      <xdr:col>3</xdr:col>
      <xdr:colOff>323850</xdr:colOff>
      <xdr:row>16</xdr:row>
      <xdr:rowOff>241300</xdr:rowOff>
    </xdr:to>
    <xdr:sp macro="" textlink="">
      <xdr:nvSpPr>
        <xdr:cNvPr id="9" name="NAV|Scoring Methodology|06  Scoring" descr="Instructions navigation: Scoring Methodology">
          <a:hlinkClick xmlns:r="http://schemas.openxmlformats.org/officeDocument/2006/relationships" r:id="rId6" tooltip="Open Scoring Methodology"/>
          <a:extLst>
            <a:ext uri="{FF2B5EF4-FFF2-40B4-BE49-F238E27FC236}">
              <a16:creationId xmlns:a16="http://schemas.microsoft.com/office/drawing/2014/main" id="{00000000-0008-0000-0600-000009000000}"/>
            </a:ext>
          </a:extLst>
        </xdr:cNvPr>
        <xdr:cNvSpPr>
          <a:spLocks noGrp="1"/>
        </xdr:cNvSpPr>
      </xdr:nvSpPr>
      <xdr:spPr>
        <a:xfrm>
          <a:off x="133350" y="4800600"/>
          <a:ext cx="1866900" cy="457200"/>
        </a:xfrm>
        <a:prstGeom prst="roundRect">
          <a:avLst/>
        </a:prstGeom>
        <a:solidFill>
          <a:srgbClr val="19354D"/>
        </a:solidFill>
        <a:ln w="9525">
          <a:solidFill>
            <a:srgbClr val="34536B"/>
          </a:solidFill>
        </a:ln>
      </xdr:spPr>
      <xdr:txBody>
        <a:bodyPr wrap="square" lIns="0" tIns="0" rIns="0" bIns="0" anchor="ctr"/>
        <a:lstStyle/>
        <a:p>
          <a:pPr algn="ctr"/>
          <a:r>
            <a:rPr lang="en-US" sz="1100" b="1">
              <a:solidFill>
                <a:srgbClr val="EAF6FF"/>
              </a:solidFill>
              <a:latin typeface="Arial"/>
            </a:rPr>
            <a:t>06  Scoring</a:t>
          </a:r>
        </a:p>
      </xdr:txBody>
    </xdr:sp>
    <xdr:clientData/>
  </xdr:twoCellAnchor>
  <xdr:twoCellAnchor editAs="absolute">
    <xdr:from>
      <xdr:col>0</xdr:col>
      <xdr:colOff>133350</xdr:colOff>
      <xdr:row>17</xdr:row>
      <xdr:rowOff>80010</xdr:rowOff>
    </xdr:from>
    <xdr:to>
      <xdr:col>3</xdr:col>
      <xdr:colOff>323850</xdr:colOff>
      <xdr:row>18</xdr:row>
      <xdr:rowOff>207010</xdr:rowOff>
    </xdr:to>
    <xdr:sp macro="" textlink="">
      <xdr:nvSpPr>
        <xdr:cNvPr id="10" name="NAV|Instructions|07  Guide" descr="Instructions navigation: Instructions (current page)">
          <a:hlinkClick xmlns:r="http://schemas.openxmlformats.org/officeDocument/2006/relationships" r:id="rId7" tooltip="Open Instructions"/>
          <a:extLst>
            <a:ext uri="{FF2B5EF4-FFF2-40B4-BE49-F238E27FC236}">
              <a16:creationId xmlns:a16="http://schemas.microsoft.com/office/drawing/2014/main" id="{00000000-0008-0000-0600-00000A000000}"/>
            </a:ext>
          </a:extLst>
        </xdr:cNvPr>
        <xdr:cNvSpPr>
          <a:spLocks noGrp="1"/>
        </xdr:cNvSpPr>
      </xdr:nvSpPr>
      <xdr:spPr>
        <a:xfrm>
          <a:off x="133350" y="5429250"/>
          <a:ext cx="1866900" cy="457200"/>
        </a:xfrm>
        <a:prstGeom prst="roundRect">
          <a:avLst/>
        </a:prstGeom>
        <a:solidFill>
          <a:srgbClr val="35E1D1"/>
        </a:solidFill>
        <a:ln w="9525">
          <a:solidFill>
            <a:srgbClr val="35E1D1"/>
          </a:solidFill>
        </a:ln>
      </xdr:spPr>
      <xdr:txBody>
        <a:bodyPr wrap="square" lIns="0" tIns="0" rIns="0" bIns="0" anchor="ctr"/>
        <a:lstStyle/>
        <a:p>
          <a:pPr algn="ctr"/>
          <a:r>
            <a:rPr lang="en-US" sz="1100" b="1">
              <a:solidFill>
                <a:srgbClr val="081323"/>
              </a:solidFill>
              <a:latin typeface="Arial"/>
            </a:rPr>
            <a:t>07  Guide</a:t>
          </a:r>
        </a:p>
      </xdr:txBody>
    </xdr:sp>
    <xdr:clientData/>
  </xdr:twoCellAnchor>
  <xdr:oneCellAnchor>
    <xdr:from>
      <xdr:col>1</xdr:col>
      <xdr:colOff>142875</xdr:colOff>
      <xdr:row>0</xdr:row>
      <xdr:rowOff>95250</xdr:rowOff>
    </xdr:from>
    <xdr:ext cx="781050" cy="781050"/>
    <xdr:pic>
      <xdr:nvPicPr>
        <xdr:cNvPr id="12" name="4c2404c1-cb27-408f-841f-b09a9133ff6e">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kRegisterTable" displayName="RiskRegisterTable" ref="E6:Y106" totalsRowShown="0" headerRowDxfId="40">
  <tableColumns count="21">
    <tableColumn id="1" xr3:uid="{00000000-0010-0000-0000-000001000000}" name="Risk ID"/>
    <tableColumn id="2" xr3:uid="{00000000-0010-0000-0000-000002000000}" name="Risk title"/>
    <tableColumn id="3" xr3:uid="{00000000-0010-0000-0000-000003000000}" name="Scenario fact / source"/>
    <tableColumn id="4" xr3:uid="{00000000-0010-0000-0000-000004000000}" name="Unverified assumptions"/>
    <tableColumn id="5" xr3:uid="{00000000-0010-0000-0000-000005000000}" name="Scope / asset"/>
    <tableColumn id="6" xr3:uid="{00000000-0010-0000-0000-000006000000}" name="Category"/>
    <tableColumn id="7" xr3:uid="{00000000-0010-0000-0000-000007000000}" name="Likelihood"/>
    <tableColumn id="8" xr3:uid="{00000000-0010-0000-0000-000008000000}" name="Impact"/>
    <tableColumn id="9" xr3:uid="{00000000-0010-0000-0000-000009000000}" name="Inherent score"/>
    <tableColumn id="10" xr3:uid="{00000000-0010-0000-0000-00000A000000}" name="Inherent rating"/>
    <tableColumn id="11" xr3:uid="{00000000-0010-0000-0000-00000B000000}" name="Proposed owner"/>
    <tableColumn id="12" xr3:uid="{00000000-0010-0000-0000-00000C000000}" name="Treatment"/>
    <tableColumn id="13" xr3:uid="{00000000-0010-0000-0000-00000D000000}" name="Validation status"/>
    <tableColumn id="14" xr3:uid="{00000000-0010-0000-0000-00000E000000}" name="Workflow status"/>
    <tableColumn id="15" xr3:uid="{00000000-0010-0000-0000-00000F000000}" name="Evidence IDs"/>
    <tableColumn id="16" xr3:uid="{00000000-0010-0000-0000-000010000000}" name="Residual likelihood"/>
    <tableColumn id="17" xr3:uid="{00000000-0010-0000-0000-000011000000}" name="Residual impact"/>
    <tableColumn id="18" xr3:uid="{00000000-0010-0000-0000-000012000000}" name="Residual score"/>
    <tableColumn id="19" xr3:uid="{00000000-0010-0000-0000-000013000000}" name="Residual rating"/>
    <tableColumn id="20" xr3:uid="{00000000-0010-0000-0000-000014000000}" name="Assessment notes"/>
    <tableColumn id="21" xr3:uid="{00000000-0010-0000-0000-000015000000}" name="Dashboard includ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trolAssessmentTable" displayName="ControlAssessmentTable" ref="E6:P106" totalsRowShown="0">
  <tableColumns count="12">
    <tableColumn id="1" xr3:uid="{00000000-0010-0000-0100-000001000000}" name="Control ID"/>
    <tableColumn id="2" xr3:uid="{00000000-0010-0000-0100-000002000000}" name="Risk ID"/>
    <tableColumn id="3" xr3:uid="{00000000-0010-0000-0100-000003000000}" name="Proposed control objective"/>
    <tableColumn id="4" xr3:uid="{00000000-0010-0000-0100-000004000000}" name="Design test plan"/>
    <tableColumn id="5" xr3:uid="{00000000-0010-0000-0100-000005000000}" name="Operating test plan"/>
    <tableColumn id="6" xr3:uid="{00000000-0010-0000-0100-000006000000}" name="Design result"/>
    <tableColumn id="7" xr3:uid="{00000000-0010-0000-0100-000007000000}" name="Operating result"/>
    <tableColumn id="8" xr3:uid="{00000000-0010-0000-0100-000008000000}" name="Evidence IDs"/>
    <tableColumn id="9" xr3:uid="{00000000-0010-0000-0100-000009000000}" name="Assessor"/>
    <tableColumn id="10" xr3:uid="{00000000-0010-0000-0100-00000A000000}" name="Assessment date"/>
    <tableColumn id="11" xr3:uid="{00000000-0010-0000-0100-00000B000000}" name="Validation status"/>
    <tableColumn id="12" xr3:uid="{00000000-0010-0000-0100-00000C000000}" name="Facts / assumptions / 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idenceTrackerTable" displayName="EvidenceTrackerTable" ref="E6:R106" totalsRowShown="0">
  <tableColumns count="14">
    <tableColumn id="1" xr3:uid="{00000000-0010-0000-0200-000001000000}" name="Evidence ID"/>
    <tableColumn id="2" xr3:uid="{00000000-0010-0000-0200-000002000000}" name="Risk ID"/>
    <tableColumn id="3" xr3:uid="{00000000-0010-0000-0200-000003000000}" name="Control ID"/>
    <tableColumn id="4" xr3:uid="{00000000-0010-0000-0200-000004000000}" name="Requested evidence"/>
    <tableColumn id="5" xr3:uid="{00000000-0010-0000-0200-000005000000}" name="Purpose / proposed coverage"/>
    <tableColumn id="6" xr3:uid="{00000000-0010-0000-0200-000006000000}" name="Custodian"/>
    <tableColumn id="7" xr3:uid="{00000000-0010-0000-0200-000007000000}" name="Request date"/>
    <tableColumn id="8" xr3:uid="{00000000-0010-0000-0200-000008000000}" name="Due date"/>
    <tableColumn id="9" xr3:uid="{00000000-0010-0000-0200-000009000000}" name="Received date"/>
    <tableColumn id="10" xr3:uid="{00000000-0010-0000-0200-00000A000000}" name="Status"/>
    <tableColumn id="11" xr3:uid="{00000000-0010-0000-0200-00000B000000}" name="Evidence location"/>
    <tableColumn id="12" xr3:uid="{00000000-0010-0000-0200-00000C000000}" name="Reviewer"/>
    <tableColumn id="13" xr3:uid="{00000000-0010-0000-0200-00000D000000}" name="Validation status"/>
    <tableColumn id="14" xr3:uid="{00000000-0010-0000-0200-00000E000000}" name="Review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mediationTrackerTable" displayName="RemediationTrackerTable" ref="E6:P106" totalsRowShown="0">
  <tableColumns count="12">
    <tableColumn id="1" xr3:uid="{00000000-0010-0000-0300-000001000000}" name="Action ID"/>
    <tableColumn id="2" xr3:uid="{00000000-0010-0000-0300-000002000000}" name="Risk ID"/>
    <tableColumn id="3" xr3:uid="{00000000-0010-0000-0300-000003000000}" name="Proposed action"/>
    <tableColumn id="4" xr3:uid="{00000000-0010-0000-0300-000004000000}" name="Proposed owner"/>
    <tableColumn id="5" xr3:uid="{00000000-0010-0000-0300-000005000000}" name="Approval status"/>
    <tableColumn id="6" xr3:uid="{00000000-0010-0000-0300-000006000000}" name="Workflow status"/>
    <tableColumn id="7" xr3:uid="{00000000-0010-0000-0300-000007000000}" name="Target date"/>
    <tableColumn id="8" xr3:uid="{00000000-0010-0000-0300-000008000000}" name="Completed date"/>
    <tableColumn id="9" xr3:uid="{00000000-0010-0000-0300-000009000000}" name="Closure evidence ID"/>
    <tableColumn id="10" xr3:uid="{00000000-0010-0000-0300-00000A000000}" name="Closure validation"/>
    <tableColumn id="11" xr3:uid="{00000000-0010-0000-0300-00000B000000}" name="Days overdue"/>
    <tableColumn id="12" xr3:uid="{00000000-0010-0000-0300-00000C000000}" name="Notes / dependenci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02F47"/>
  </sheetPr>
  <dimension ref="A1:AG129"/>
  <sheetViews>
    <sheetView showGridLines="0" showRowColHeaders="0" tabSelected="1" workbookViewId="0">
      <selection activeCell="L7" sqref="L7:Q7"/>
    </sheetView>
  </sheetViews>
  <sheetFormatPr defaultRowHeight="14.25"/>
  <cols>
    <col min="1" max="4" width="7.25" customWidth="1"/>
    <col min="5" max="28" width="7" customWidth="1"/>
    <col min="31" max="33" width="14" hidden="1" customWidth="1"/>
  </cols>
  <sheetData>
    <row r="1" spans="1:33" ht="28.5" customHeight="1">
      <c r="A1" s="31"/>
      <c r="B1" s="31"/>
      <c r="C1" s="31"/>
      <c r="D1" s="31"/>
      <c r="E1" s="12"/>
      <c r="F1" s="12"/>
      <c r="G1" s="12"/>
      <c r="H1" s="12"/>
      <c r="I1" s="12"/>
      <c r="J1" s="13"/>
      <c r="K1" s="13"/>
      <c r="L1" s="13"/>
      <c r="M1" s="13"/>
      <c r="N1" s="13"/>
      <c r="O1" s="13"/>
      <c r="P1" s="13"/>
      <c r="Q1" s="13"/>
      <c r="R1" s="13"/>
      <c r="S1" s="13"/>
      <c r="T1" s="13"/>
      <c r="U1" s="13"/>
      <c r="V1" s="13"/>
      <c r="W1" s="13"/>
      <c r="X1" s="13"/>
      <c r="Y1" s="13"/>
      <c r="Z1" s="13"/>
      <c r="AA1" s="13"/>
      <c r="AB1" s="13"/>
    </row>
    <row r="2" spans="1:33" ht="28.5" customHeight="1">
      <c r="A2" s="31"/>
      <c r="B2" s="31"/>
      <c r="C2" s="31"/>
      <c r="D2" s="31"/>
      <c r="E2" s="12"/>
      <c r="F2" s="12"/>
      <c r="G2" s="12"/>
      <c r="H2" s="12"/>
      <c r="I2" s="12"/>
      <c r="J2" s="13"/>
      <c r="K2" s="13"/>
      <c r="L2" s="13"/>
      <c r="M2" s="13"/>
      <c r="N2" s="13"/>
      <c r="O2" s="13"/>
      <c r="P2" s="13"/>
      <c r="Q2" s="13"/>
      <c r="R2" s="13"/>
      <c r="S2" s="13"/>
      <c r="T2" s="13"/>
      <c r="U2" s="13"/>
      <c r="V2" s="13"/>
      <c r="W2" s="13"/>
      <c r="X2" s="13"/>
      <c r="Y2" s="13"/>
      <c r="Z2" s="13"/>
      <c r="AA2" s="13"/>
      <c r="AB2" s="13"/>
      <c r="AE2" t="s">
        <v>0</v>
      </c>
      <c r="AF2" t="s">
        <v>1</v>
      </c>
    </row>
    <row r="3" spans="1:33" ht="15" customHeight="1">
      <c r="A3" s="31"/>
      <c r="B3" s="31"/>
      <c r="C3" s="31"/>
      <c r="D3" s="31"/>
      <c r="E3" s="12"/>
      <c r="F3" s="12"/>
      <c r="G3" s="12"/>
      <c r="H3" s="12"/>
      <c r="I3" s="12"/>
      <c r="J3" s="12"/>
      <c r="K3" s="12"/>
      <c r="L3" s="12"/>
      <c r="M3" s="12"/>
      <c r="N3" s="12"/>
      <c r="O3" s="12"/>
      <c r="P3" s="12"/>
      <c r="Q3" s="12"/>
      <c r="R3" s="12"/>
      <c r="S3" s="12"/>
      <c r="T3" s="12"/>
      <c r="U3" s="12"/>
      <c r="V3" s="12"/>
      <c r="W3" s="12"/>
      <c r="X3" s="12"/>
      <c r="Y3" s="12"/>
      <c r="Z3" s="12"/>
      <c r="AA3" s="12"/>
      <c r="AB3" s="12"/>
      <c r="AE3" t="s">
        <v>2</v>
      </c>
      <c r="AF3">
        <f>COUNTIFS('Risk Register'!$Y$7:$Y$106,1,'Risk Register'!$N$7:$N$106,AE3)</f>
        <v>0</v>
      </c>
    </row>
    <row r="4" spans="1:33" ht="15" customHeight="1">
      <c r="A4" s="31"/>
      <c r="B4" s="31"/>
      <c r="C4" s="31"/>
      <c r="D4" s="31"/>
      <c r="E4" s="12"/>
      <c r="F4" s="12"/>
      <c r="G4" s="12"/>
      <c r="H4" s="12"/>
      <c r="I4" s="12"/>
      <c r="J4" s="12"/>
      <c r="K4" s="12"/>
      <c r="L4" s="12"/>
      <c r="M4" s="12"/>
      <c r="N4" s="12"/>
      <c r="O4" s="12"/>
      <c r="P4" s="12"/>
      <c r="Q4" s="12"/>
      <c r="R4" s="12"/>
      <c r="S4" s="12"/>
      <c r="T4" s="12"/>
      <c r="U4" s="12"/>
      <c r="V4" s="12"/>
      <c r="W4" s="12"/>
      <c r="X4" s="12"/>
      <c r="Y4" s="12"/>
      <c r="Z4" s="12"/>
      <c r="AA4" s="12"/>
      <c r="AB4" s="12"/>
      <c r="AE4" t="s">
        <v>3</v>
      </c>
      <c r="AF4">
        <f>COUNTIFS('Risk Register'!$Y$7:$Y$106,1,'Risk Register'!$N$7:$N$106,AE4)</f>
        <v>0</v>
      </c>
    </row>
    <row r="5" spans="1:33" ht="21" customHeight="1">
      <c r="A5" s="31"/>
      <c r="B5" s="31"/>
      <c r="C5" s="31"/>
      <c r="D5" s="31"/>
      <c r="E5" s="9"/>
      <c r="F5" s="45" t="s">
        <v>4</v>
      </c>
      <c r="G5" s="45"/>
      <c r="H5" s="45"/>
      <c r="I5" s="45"/>
      <c r="J5" s="45"/>
      <c r="K5" s="45"/>
      <c r="L5" s="45"/>
      <c r="M5" s="45"/>
      <c r="N5" s="45"/>
      <c r="O5" s="45"/>
      <c r="P5" s="45"/>
      <c r="Q5" s="45"/>
      <c r="R5" s="45"/>
      <c r="S5" s="45"/>
      <c r="T5" s="45"/>
      <c r="U5" s="45"/>
      <c r="V5" s="45"/>
      <c r="W5" s="45"/>
      <c r="X5" s="45"/>
      <c r="Y5" s="45"/>
      <c r="Z5" s="45"/>
      <c r="AA5" s="45"/>
      <c r="AB5" s="45"/>
      <c r="AE5" t="s">
        <v>5</v>
      </c>
      <c r="AF5">
        <f>COUNTIFS('Risk Register'!$Y$7:$Y$106,1,'Risk Register'!$N$7:$N$106,AE5)</f>
        <v>4</v>
      </c>
    </row>
    <row r="6" spans="1:33" ht="21" customHeight="1">
      <c r="A6" s="31"/>
      <c r="B6" s="31"/>
      <c r="C6" s="31"/>
      <c r="D6" s="31"/>
      <c r="E6" s="9"/>
      <c r="F6" s="9"/>
      <c r="G6" s="9"/>
      <c r="H6" s="9"/>
      <c r="I6" s="9"/>
      <c r="J6" s="19"/>
      <c r="K6" s="19"/>
      <c r="L6" s="54" t="s">
        <v>6</v>
      </c>
      <c r="M6" s="54"/>
      <c r="N6" s="54"/>
      <c r="O6" s="54"/>
      <c r="P6" s="54"/>
      <c r="Q6" s="54"/>
      <c r="R6" s="9"/>
      <c r="S6" s="9"/>
      <c r="T6" s="44" t="s">
        <v>7</v>
      </c>
      <c r="U6" s="44"/>
      <c r="V6" s="44"/>
      <c r="W6" s="44"/>
      <c r="X6" s="44"/>
      <c r="Y6" s="44"/>
      <c r="Z6" s="44"/>
      <c r="AA6" s="44"/>
      <c r="AB6" s="44"/>
      <c r="AE6" t="s">
        <v>8</v>
      </c>
      <c r="AF6">
        <f>COUNTIFS('Risk Register'!$Y$7:$Y$106,1,'Risk Register'!$N$7:$N$106,AE6)</f>
        <v>0</v>
      </c>
    </row>
    <row r="7" spans="1:33" ht="21" customHeight="1">
      <c r="A7" s="31"/>
      <c r="B7" s="31"/>
      <c r="C7" s="31"/>
      <c r="D7" s="31"/>
      <c r="E7" s="9"/>
      <c r="F7" s="9"/>
      <c r="G7" s="9"/>
      <c r="H7" s="9"/>
      <c r="I7" s="9"/>
      <c r="J7" s="9"/>
      <c r="K7" s="9"/>
      <c r="L7" s="46" t="s">
        <v>9</v>
      </c>
      <c r="M7" s="46"/>
      <c r="N7" s="46"/>
      <c r="O7" s="46"/>
      <c r="P7" s="46"/>
      <c r="Q7" s="46"/>
      <c r="R7" s="9"/>
      <c r="S7" s="9"/>
      <c r="T7" s="47" t="s">
        <v>9</v>
      </c>
      <c r="U7" s="47"/>
      <c r="V7" s="47"/>
      <c r="W7" s="47"/>
      <c r="X7" s="47"/>
      <c r="Y7" s="47"/>
      <c r="Z7" s="9"/>
      <c r="AA7" s="9"/>
      <c r="AB7" s="9"/>
    </row>
    <row r="8" spans="1:33" ht="21" customHeight="1">
      <c r="A8" s="31"/>
      <c r="B8" s="31"/>
      <c r="C8" s="31"/>
      <c r="D8" s="31"/>
      <c r="E8" s="9"/>
      <c r="F8" s="28" t="s">
        <v>10</v>
      </c>
      <c r="G8" s="28"/>
      <c r="H8" s="28"/>
      <c r="I8" s="28"/>
      <c r="J8" s="28"/>
      <c r="K8" s="28"/>
      <c r="L8" s="28"/>
      <c r="M8" s="28"/>
      <c r="N8" s="28"/>
      <c r="O8" s="28"/>
      <c r="P8" s="28"/>
      <c r="Q8" s="28"/>
      <c r="R8" s="28"/>
      <c r="S8" s="28"/>
      <c r="T8" s="28"/>
      <c r="U8" s="28"/>
      <c r="V8" s="28"/>
      <c r="W8" s="28"/>
      <c r="X8" s="28"/>
      <c r="Y8" s="28"/>
      <c r="Z8" s="28"/>
      <c r="AA8" s="28"/>
      <c r="AB8" s="28"/>
    </row>
    <row r="9" spans="1:33" ht="21" customHeight="1">
      <c r="A9" s="31"/>
      <c r="B9" s="31"/>
      <c r="C9" s="31"/>
      <c r="D9" s="31"/>
      <c r="E9" s="9"/>
      <c r="F9" s="9"/>
      <c r="G9" s="9"/>
      <c r="H9" s="9"/>
      <c r="I9" s="9"/>
      <c r="J9" s="9"/>
      <c r="K9" s="9"/>
      <c r="L9" s="9"/>
      <c r="M9" s="9"/>
      <c r="N9" s="9"/>
      <c r="O9" s="9"/>
      <c r="P9" s="9"/>
      <c r="Q9" s="9"/>
      <c r="R9" s="9"/>
      <c r="S9" s="9"/>
      <c r="T9" s="9"/>
      <c r="U9" s="9"/>
      <c r="V9" s="9"/>
      <c r="W9" s="9"/>
      <c r="X9" s="9"/>
      <c r="Y9" s="9"/>
      <c r="Z9" s="9"/>
      <c r="AA9" s="9"/>
      <c r="AB9" s="9"/>
      <c r="AE9" t="s">
        <v>11</v>
      </c>
      <c r="AF9" t="s">
        <v>12</v>
      </c>
    </row>
    <row r="10" spans="1:33" ht="21" customHeight="1">
      <c r="A10" s="31"/>
      <c r="B10" s="31"/>
      <c r="C10" s="31"/>
      <c r="D10" s="31"/>
      <c r="E10" s="9"/>
      <c r="F10" s="48" t="s">
        <v>13</v>
      </c>
      <c r="G10" s="49"/>
      <c r="H10" s="49"/>
      <c r="I10" s="49"/>
      <c r="J10" s="50"/>
      <c r="K10" s="9"/>
      <c r="L10" s="48" t="s">
        <v>14</v>
      </c>
      <c r="M10" s="49"/>
      <c r="N10" s="49"/>
      <c r="O10" s="49"/>
      <c r="P10" s="50"/>
      <c r="Q10" s="9"/>
      <c r="R10" s="48" t="s">
        <v>15</v>
      </c>
      <c r="S10" s="49"/>
      <c r="T10" s="49"/>
      <c r="U10" s="49"/>
      <c r="V10" s="50"/>
      <c r="W10" s="9"/>
      <c r="X10" s="48" t="s">
        <v>16</v>
      </c>
      <c r="Y10" s="49"/>
      <c r="Z10" s="49"/>
      <c r="AA10" s="49"/>
      <c r="AB10" s="50"/>
      <c r="AE10" t="s">
        <v>17</v>
      </c>
      <c r="AF10">
        <f>COUNTIFS('Evidence Tracker'!$E$7:$E$106,"&lt;&gt;",'Evidence Tracker'!$N$7:$N$106,"Planned request")</f>
        <v>4</v>
      </c>
    </row>
    <row r="11" spans="1:33" ht="21" customHeight="1">
      <c r="A11" s="31"/>
      <c r="B11" s="31"/>
      <c r="C11" s="31"/>
      <c r="D11" s="31"/>
      <c r="E11" s="9"/>
      <c r="F11" s="51"/>
      <c r="G11" s="52"/>
      <c r="H11" s="52"/>
      <c r="I11" s="52"/>
      <c r="J11" s="53"/>
      <c r="K11" s="9"/>
      <c r="L11" s="51"/>
      <c r="M11" s="52"/>
      <c r="N11" s="52"/>
      <c r="O11" s="52"/>
      <c r="P11" s="53"/>
      <c r="Q11" s="9"/>
      <c r="R11" s="51"/>
      <c r="S11" s="52"/>
      <c r="T11" s="52"/>
      <c r="U11" s="52"/>
      <c r="V11" s="53"/>
      <c r="W11" s="9"/>
      <c r="X11" s="51"/>
      <c r="Y11" s="52"/>
      <c r="Z11" s="52"/>
      <c r="AA11" s="52"/>
      <c r="AB11" s="53"/>
      <c r="AE11" t="s">
        <v>18</v>
      </c>
      <c r="AF11">
        <f>COUNTIFS('Evidence Tracker'!$E$7:$E$106,"&lt;&gt;",'Evidence Tracker'!$N$7:$N$106,"Requested")</f>
        <v>0</v>
      </c>
    </row>
    <row r="12" spans="1:33" ht="21" customHeight="1">
      <c r="A12" s="31"/>
      <c r="B12" s="31"/>
      <c r="C12" s="31"/>
      <c r="D12" s="31"/>
      <c r="E12" s="9"/>
      <c r="F12" s="59">
        <f>SUM('Risk Register'!$Y$7:$Y$106)</f>
        <v>4</v>
      </c>
      <c r="G12" s="60"/>
      <c r="H12" s="60"/>
      <c r="I12" s="60"/>
      <c r="J12" s="61"/>
      <c r="K12" s="9"/>
      <c r="L12" s="65">
        <f>COUNTIFS('Risk Register'!$Y$7:$Y$106,1,'Risk Register'!$N$7:$N$106,"High")+COUNTIFS('Risk Register'!$Y$7:$Y$106,1,'Risk Register'!$N$7:$N$106,"Critical")</f>
        <v>4</v>
      </c>
      <c r="M12" s="66"/>
      <c r="N12" s="66"/>
      <c r="O12" s="66"/>
      <c r="P12" s="67"/>
      <c r="Q12" s="9"/>
      <c r="R12" s="59">
        <f>COUNTIFS('Risk Register'!$Y$7:$Y$106,1,'Risk Register'!$Q$7:$Q$106,"Validated")</f>
        <v>0</v>
      </c>
      <c r="S12" s="60"/>
      <c r="T12" s="60"/>
      <c r="U12" s="60"/>
      <c r="V12" s="61"/>
      <c r="W12" s="9"/>
      <c r="X12" s="59">
        <f>COUNTIFS('Risk Register'!$Y$7:$Y$106,1,'Risk Register'!$Q$7:$Q$106,"Pending validation")</f>
        <v>4</v>
      </c>
      <c r="Y12" s="60"/>
      <c r="Z12" s="60"/>
      <c r="AA12" s="60"/>
      <c r="AB12" s="61"/>
      <c r="AE12" t="s">
        <v>19</v>
      </c>
      <c r="AF12">
        <f>COUNTIFS('Evidence Tracker'!$E$7:$E$106,"&lt;&gt;",'Evidence Tracker'!$N$7:$N$106,"Received")</f>
        <v>0</v>
      </c>
    </row>
    <row r="13" spans="1:33" ht="21" customHeight="1">
      <c r="A13" s="31"/>
      <c r="B13" s="31"/>
      <c r="C13" s="31"/>
      <c r="D13" s="31"/>
      <c r="E13" s="9"/>
      <c r="F13" s="62"/>
      <c r="G13" s="63"/>
      <c r="H13" s="63"/>
      <c r="I13" s="63"/>
      <c r="J13" s="64"/>
      <c r="K13" s="9"/>
      <c r="L13" s="68"/>
      <c r="M13" s="69"/>
      <c r="N13" s="69"/>
      <c r="O13" s="69"/>
      <c r="P13" s="70"/>
      <c r="Q13" s="9"/>
      <c r="R13" s="62"/>
      <c r="S13" s="63"/>
      <c r="T13" s="63"/>
      <c r="U13" s="63"/>
      <c r="V13" s="64"/>
      <c r="W13" s="9"/>
      <c r="X13" s="62"/>
      <c r="Y13" s="63"/>
      <c r="Z13" s="63"/>
      <c r="AA13" s="63"/>
      <c r="AB13" s="64"/>
      <c r="AE13" t="s">
        <v>20</v>
      </c>
      <c r="AF13">
        <f>COUNTIFS('Evidence Tracker'!$E$7:$E$106,"&lt;&gt;",'Evidence Tracker'!$N$7:$N$106,"Under review")</f>
        <v>0</v>
      </c>
    </row>
    <row r="14" spans="1:33" ht="21" customHeight="1">
      <c r="A14" s="31"/>
      <c r="B14" s="31"/>
      <c r="C14" s="31"/>
      <c r="D14" s="31"/>
      <c r="E14" s="9"/>
      <c r="F14" s="9"/>
      <c r="G14" s="9"/>
      <c r="H14" s="9"/>
      <c r="I14" s="9"/>
      <c r="J14" s="9"/>
      <c r="K14" s="9"/>
      <c r="L14" s="9"/>
      <c r="M14" s="9"/>
      <c r="N14" s="9"/>
      <c r="O14" s="9"/>
      <c r="P14" s="9"/>
      <c r="Q14" s="9"/>
      <c r="R14" s="9"/>
      <c r="S14" s="9"/>
      <c r="T14" s="9"/>
      <c r="U14" s="9"/>
      <c r="V14" s="9"/>
      <c r="W14" s="9"/>
      <c r="X14" s="9"/>
      <c r="Y14" s="9"/>
      <c r="Z14" s="9"/>
      <c r="AA14" s="9"/>
      <c r="AB14" s="9"/>
      <c r="AE14" t="s">
        <v>21</v>
      </c>
      <c r="AF14">
        <f>COUNTIFS('Evidence Tracker'!$E$7:$E$106,"&lt;&gt;",'Evidence Tracker'!$N$7:$N$106,"Reviewed")</f>
        <v>0</v>
      </c>
    </row>
    <row r="15" spans="1:33" ht="21" customHeight="1">
      <c r="A15" s="31"/>
      <c r="B15" s="31"/>
      <c r="C15" s="31"/>
      <c r="D15" s="31"/>
      <c r="E15" s="9"/>
      <c r="F15" s="58" t="s">
        <v>22</v>
      </c>
      <c r="G15" s="58"/>
      <c r="H15" s="58"/>
      <c r="I15" s="58"/>
      <c r="J15" s="58"/>
      <c r="K15" s="58"/>
      <c r="L15" s="58"/>
      <c r="M15" s="58"/>
      <c r="N15" s="58"/>
      <c r="O15" s="58"/>
      <c r="P15" s="58"/>
      <c r="Q15" s="9"/>
      <c r="R15" s="58" t="s">
        <v>23</v>
      </c>
      <c r="S15" s="58"/>
      <c r="T15" s="58"/>
      <c r="U15" s="58"/>
      <c r="V15" s="58"/>
      <c r="W15" s="58"/>
      <c r="X15" s="58"/>
      <c r="Y15" s="58"/>
      <c r="Z15" s="58"/>
      <c r="AA15" s="58"/>
      <c r="AB15" s="58"/>
    </row>
    <row r="16" spans="1:33" ht="21" customHeight="1">
      <c r="A16" s="31"/>
      <c r="B16" s="31"/>
      <c r="C16" s="31"/>
      <c r="D16" s="31"/>
      <c r="E16" s="9"/>
      <c r="F16" s="9"/>
      <c r="G16" s="9"/>
      <c r="H16" s="9"/>
      <c r="I16" s="9"/>
      <c r="J16" s="9"/>
      <c r="K16" s="9"/>
      <c r="L16" s="9"/>
      <c r="M16" s="9"/>
      <c r="N16" s="9"/>
      <c r="O16" s="9"/>
      <c r="P16" s="9"/>
      <c r="Q16" s="9"/>
      <c r="R16" s="9"/>
      <c r="S16" s="9"/>
      <c r="T16" s="9"/>
      <c r="U16" s="9"/>
      <c r="V16" s="9"/>
      <c r="W16" s="9"/>
      <c r="X16" s="9"/>
      <c r="Y16" s="9"/>
      <c r="Z16" s="9"/>
      <c r="AA16" s="9"/>
      <c r="AB16" s="9"/>
      <c r="AE16">
        <f>'Scoring Methodology'!F16</f>
        <v>6</v>
      </c>
      <c r="AF16">
        <f>'Scoring Methodology'!F17</f>
        <v>12</v>
      </c>
      <c r="AG16">
        <f>'Scoring Methodology'!F18</f>
        <v>20</v>
      </c>
    </row>
    <row r="17" spans="1:31" ht="21" customHeight="1">
      <c r="A17" s="31"/>
      <c r="B17" s="31"/>
      <c r="C17" s="31"/>
      <c r="D17" s="31"/>
      <c r="E17" s="9"/>
      <c r="F17" s="9"/>
      <c r="G17" s="9"/>
      <c r="H17" s="9"/>
      <c r="I17" s="9"/>
      <c r="J17" s="9"/>
      <c r="K17" s="9"/>
      <c r="L17" s="9"/>
      <c r="M17" s="9"/>
      <c r="N17" s="9"/>
      <c r="O17" s="9"/>
      <c r="P17" s="9"/>
      <c r="Q17" s="9"/>
      <c r="R17" s="9"/>
      <c r="S17" s="9"/>
      <c r="T17" s="9"/>
      <c r="U17" s="10"/>
      <c r="V17" s="10">
        <v>1</v>
      </c>
      <c r="W17" s="10">
        <v>2</v>
      </c>
      <c r="X17" s="10">
        <v>3</v>
      </c>
      <c r="Y17" s="10">
        <v>4</v>
      </c>
      <c r="Z17" s="10">
        <v>5</v>
      </c>
      <c r="AA17" s="9"/>
      <c r="AB17" s="9"/>
      <c r="AE17" t="str">
        <f>IF($AE$20=0,"",INDEX('Risk Register'!$N$7:$N$106,$AE$20))</f>
        <v>High</v>
      </c>
    </row>
    <row r="18" spans="1:31" ht="21" customHeight="1">
      <c r="A18" s="31"/>
      <c r="B18" s="31"/>
      <c r="C18" s="31"/>
      <c r="D18" s="31"/>
      <c r="E18" s="9"/>
      <c r="F18" s="9"/>
      <c r="G18" s="9"/>
      <c r="H18" s="9"/>
      <c r="I18" s="9"/>
      <c r="J18" s="9"/>
      <c r="K18" s="9"/>
      <c r="L18" s="9"/>
      <c r="M18" s="9"/>
      <c r="N18" s="9"/>
      <c r="O18" s="9"/>
      <c r="P18" s="9"/>
      <c r="Q18" s="9"/>
      <c r="R18" s="9"/>
      <c r="S18" s="9"/>
      <c r="T18" s="9"/>
      <c r="U18" s="10">
        <v>5</v>
      </c>
      <c r="V18" s="11">
        <f>COUNTIFS('Risk Register'!$Y$7:$Y$106,1,'Risk Register'!$K$7:$K$106,$U18,'Risk Register'!$L$7:$L$106,V$17)</f>
        <v>0</v>
      </c>
      <c r="W18" s="11">
        <f>COUNTIFS('Risk Register'!$Y$7:$Y$106,1,'Risk Register'!$K$7:$K$106,$U18,'Risk Register'!$L$7:$L$106,W$17)</f>
        <v>0</v>
      </c>
      <c r="X18" s="11">
        <f>COUNTIFS('Risk Register'!$Y$7:$Y$106,1,'Risk Register'!$K$7:$K$106,$U18,'Risk Register'!$L$7:$L$106,X$17)</f>
        <v>0</v>
      </c>
      <c r="Y18" s="11">
        <f>COUNTIFS('Risk Register'!$Y$7:$Y$106,1,'Risk Register'!$K$7:$K$106,$U18,'Risk Register'!$L$7:$L$106,Y$17)</f>
        <v>0</v>
      </c>
      <c r="Z18" s="11">
        <f>COUNTIFS('Risk Register'!$Y$7:$Y$106,1,'Risk Register'!$K$7:$K$106,$U18,'Risk Register'!$L$7:$L$106,Z$17)</f>
        <v>0</v>
      </c>
      <c r="AA18" s="9"/>
      <c r="AB18" s="9"/>
    </row>
    <row r="19" spans="1:31" ht="21" customHeight="1">
      <c r="A19" s="31"/>
      <c r="B19" s="31"/>
      <c r="C19" s="31"/>
      <c r="D19" s="31"/>
      <c r="E19" s="9"/>
      <c r="F19" s="9"/>
      <c r="G19" s="9"/>
      <c r="H19" s="9"/>
      <c r="I19" s="9"/>
      <c r="J19" s="9"/>
      <c r="K19" s="9"/>
      <c r="L19" s="9"/>
      <c r="M19" s="9"/>
      <c r="N19" s="9"/>
      <c r="O19" s="9"/>
      <c r="P19" s="9"/>
      <c r="Q19" s="9"/>
      <c r="R19" s="9"/>
      <c r="S19" s="9"/>
      <c r="T19" s="9"/>
      <c r="U19" s="10">
        <v>4</v>
      </c>
      <c r="V19" s="11">
        <f>COUNTIFS('Risk Register'!$Y$7:$Y$106,1,'Risk Register'!$K$7:$K$106,$U19,'Risk Register'!$L$7:$L$106,V$17)</f>
        <v>0</v>
      </c>
      <c r="W19" s="11">
        <f>COUNTIFS('Risk Register'!$Y$7:$Y$106,1,'Risk Register'!$K$7:$K$106,$U19,'Risk Register'!$L$7:$L$106,W$17)</f>
        <v>0</v>
      </c>
      <c r="X19" s="11">
        <f>COUNTIFS('Risk Register'!$Y$7:$Y$106,1,'Risk Register'!$K$7:$K$106,$U19,'Risk Register'!$L$7:$L$106,X$17)</f>
        <v>0</v>
      </c>
      <c r="Y19" s="11">
        <f>COUNTIFS('Risk Register'!$Y$7:$Y$106,1,'Risk Register'!$K$7:$K$106,$U19,'Risk Register'!$L$7:$L$106,Y$17)</f>
        <v>0</v>
      </c>
      <c r="Z19" s="11">
        <f>COUNTIFS('Risk Register'!$Y$7:$Y$106,1,'Risk Register'!$K$7:$K$106,$U19,'Risk Register'!$L$7:$L$106,Z$17)</f>
        <v>0</v>
      </c>
      <c r="AA19" s="9"/>
      <c r="AB19" s="9"/>
    </row>
    <row r="20" spans="1:31" ht="21" customHeight="1">
      <c r="A20" s="31"/>
      <c r="B20" s="31"/>
      <c r="C20" s="31"/>
      <c r="D20" s="31"/>
      <c r="E20" s="9"/>
      <c r="F20" s="9"/>
      <c r="G20" s="9"/>
      <c r="H20" s="9"/>
      <c r="I20" s="9"/>
      <c r="J20" s="9"/>
      <c r="K20" s="9"/>
      <c r="L20" s="9"/>
      <c r="M20" s="9"/>
      <c r="N20" s="9"/>
      <c r="O20" s="9"/>
      <c r="P20" s="9"/>
      <c r="Q20" s="9"/>
      <c r="R20" s="9"/>
      <c r="S20" s="9"/>
      <c r="T20" s="9"/>
      <c r="U20" s="10">
        <v>3</v>
      </c>
      <c r="V20" s="11">
        <f>COUNTIFS('Risk Register'!$Y$7:$Y$106,1,'Risk Register'!$K$7:$K$106,$U20,'Risk Register'!$L$7:$L$106,V$17)</f>
        <v>0</v>
      </c>
      <c r="W20" s="11">
        <f>COUNTIFS('Risk Register'!$Y$7:$Y$106,1,'Risk Register'!$K$7:$K$106,$U20,'Risk Register'!$L$7:$L$106,W$17)</f>
        <v>0</v>
      </c>
      <c r="X20" s="11">
        <f>COUNTIFS('Risk Register'!$Y$7:$Y$106,1,'Risk Register'!$K$7:$K$106,$U20,'Risk Register'!$L$7:$L$106,X$17)</f>
        <v>0</v>
      </c>
      <c r="Y20" s="11">
        <f>COUNTIFS('Risk Register'!$Y$7:$Y$106,1,'Risk Register'!$K$7:$K$106,$U20,'Risk Register'!$L$7:$L$106,Y$17)</f>
        <v>4</v>
      </c>
      <c r="Z20" s="11">
        <f>COUNTIFS('Risk Register'!$Y$7:$Y$106,1,'Risk Register'!$K$7:$K$106,$U20,'Risk Register'!$L$7:$L$106,Z$17)</f>
        <v>0</v>
      </c>
      <c r="AA20" s="9"/>
      <c r="AB20" s="9"/>
      <c r="AE20">
        <f>IFERROR(MATCH(X29,'Risk Register'!$E$7:$E$106,0),0)</f>
        <v>1</v>
      </c>
    </row>
    <row r="21" spans="1:31" ht="21" customHeight="1">
      <c r="A21" s="31"/>
      <c r="B21" s="31"/>
      <c r="C21" s="31"/>
      <c r="D21" s="31"/>
      <c r="E21" s="9"/>
      <c r="F21" s="9"/>
      <c r="G21" s="9"/>
      <c r="H21" s="9"/>
      <c r="I21" s="9"/>
      <c r="J21" s="9"/>
      <c r="K21" s="9"/>
      <c r="L21" s="9"/>
      <c r="M21" s="9"/>
      <c r="N21" s="9"/>
      <c r="O21" s="9"/>
      <c r="P21" s="9"/>
      <c r="Q21" s="9"/>
      <c r="R21" s="9"/>
      <c r="S21" s="9"/>
      <c r="T21" s="9"/>
      <c r="U21" s="10">
        <v>2</v>
      </c>
      <c r="V21" s="11">
        <f>COUNTIFS('Risk Register'!$Y$7:$Y$106,1,'Risk Register'!$K$7:$K$106,$U21,'Risk Register'!$L$7:$L$106,V$17)</f>
        <v>0</v>
      </c>
      <c r="W21" s="11">
        <f>COUNTIFS('Risk Register'!$Y$7:$Y$106,1,'Risk Register'!$K$7:$K$106,$U21,'Risk Register'!$L$7:$L$106,W$17)</f>
        <v>0</v>
      </c>
      <c r="X21" s="11">
        <f>COUNTIFS('Risk Register'!$Y$7:$Y$106,1,'Risk Register'!$K$7:$K$106,$U21,'Risk Register'!$L$7:$L$106,X$17)</f>
        <v>0</v>
      </c>
      <c r="Y21" s="11">
        <f>COUNTIFS('Risk Register'!$Y$7:$Y$106,1,'Risk Register'!$K$7:$K$106,$U21,'Risk Register'!$L$7:$L$106,Y$17)</f>
        <v>0</v>
      </c>
      <c r="Z21" s="11">
        <f>COUNTIFS('Risk Register'!$Y$7:$Y$106,1,'Risk Register'!$K$7:$K$106,$U21,'Risk Register'!$L$7:$L$106,Z$17)</f>
        <v>0</v>
      </c>
      <c r="AA21" s="9"/>
      <c r="AB21" s="9"/>
    </row>
    <row r="22" spans="1:31" ht="21" customHeight="1">
      <c r="A22" s="31"/>
      <c r="B22" s="31"/>
      <c r="C22" s="31"/>
      <c r="D22" s="31"/>
      <c r="E22" s="9"/>
      <c r="F22" s="9"/>
      <c r="G22" s="9"/>
      <c r="H22" s="9"/>
      <c r="I22" s="9"/>
      <c r="J22" s="9"/>
      <c r="K22" s="9"/>
      <c r="L22" s="9"/>
      <c r="M22" s="9"/>
      <c r="N22" s="9"/>
      <c r="O22" s="9"/>
      <c r="P22" s="9"/>
      <c r="Q22" s="9"/>
      <c r="R22" s="9"/>
      <c r="S22" s="9"/>
      <c r="T22" s="9"/>
      <c r="U22" s="10">
        <v>1</v>
      </c>
      <c r="V22" s="11">
        <f>COUNTIFS('Risk Register'!$Y$7:$Y$106,1,'Risk Register'!$K$7:$K$106,$U22,'Risk Register'!$L$7:$L$106,V$17)</f>
        <v>0</v>
      </c>
      <c r="W22" s="11">
        <f>COUNTIFS('Risk Register'!$Y$7:$Y$106,1,'Risk Register'!$K$7:$K$106,$U22,'Risk Register'!$L$7:$L$106,W$17)</f>
        <v>0</v>
      </c>
      <c r="X22" s="11">
        <f>COUNTIFS('Risk Register'!$Y$7:$Y$106,1,'Risk Register'!$K$7:$K$106,$U22,'Risk Register'!$L$7:$L$106,X$17)</f>
        <v>0</v>
      </c>
      <c r="Y22" s="11">
        <f>COUNTIFS('Risk Register'!$Y$7:$Y$106,1,'Risk Register'!$K$7:$K$106,$U22,'Risk Register'!$L$7:$L$106,Y$17)</f>
        <v>0</v>
      </c>
      <c r="Z22" s="11">
        <f>COUNTIFS('Risk Register'!$Y$7:$Y$106,1,'Risk Register'!$K$7:$K$106,$U22,'Risk Register'!$L$7:$L$106,Z$17)</f>
        <v>0</v>
      </c>
      <c r="AA22" s="9"/>
      <c r="AB22" s="9"/>
    </row>
    <row r="23" spans="1:31" ht="21" customHeight="1">
      <c r="A23" s="31"/>
      <c r="B23" s="31"/>
      <c r="C23" s="31"/>
      <c r="D23" s="31"/>
      <c r="E23" s="9"/>
      <c r="F23" s="9"/>
      <c r="G23" s="9"/>
      <c r="H23" s="9"/>
      <c r="I23" s="9"/>
      <c r="J23" s="9"/>
      <c r="K23" s="9"/>
      <c r="L23" s="9"/>
      <c r="M23" s="9"/>
      <c r="N23" s="9"/>
      <c r="O23" s="9"/>
      <c r="P23" s="9"/>
      <c r="Q23" s="9"/>
      <c r="R23" s="9"/>
      <c r="S23" s="9"/>
      <c r="T23" s="9"/>
      <c r="U23" s="9"/>
      <c r="V23" s="9"/>
      <c r="W23" s="9"/>
      <c r="X23" s="9"/>
      <c r="Y23" s="9"/>
      <c r="Z23" s="9"/>
      <c r="AA23" s="9"/>
      <c r="AB23" s="9"/>
    </row>
    <row r="24" spans="1:31" ht="21" customHeight="1">
      <c r="A24" s="31"/>
      <c r="B24" s="31"/>
      <c r="C24" s="31"/>
      <c r="D24" s="31"/>
      <c r="E24" s="9"/>
      <c r="F24" s="9"/>
      <c r="G24" s="9"/>
      <c r="H24" s="9"/>
      <c r="I24" s="9"/>
      <c r="J24" s="9"/>
      <c r="K24" s="9"/>
      <c r="L24" s="9"/>
      <c r="M24" s="9"/>
      <c r="N24" s="9"/>
      <c r="O24" s="9"/>
      <c r="P24" s="9"/>
      <c r="Q24" s="9"/>
      <c r="R24" s="28" t="s">
        <v>24</v>
      </c>
      <c r="S24" s="28"/>
      <c r="T24" s="28"/>
      <c r="U24" s="28"/>
      <c r="V24" s="28"/>
      <c r="W24" s="28"/>
      <c r="X24" s="28"/>
      <c r="Y24" s="28"/>
      <c r="Z24" s="28"/>
      <c r="AA24" s="28"/>
      <c r="AB24" s="28"/>
    </row>
    <row r="25" spans="1:31" ht="21" customHeight="1">
      <c r="A25" s="31"/>
      <c r="B25" s="31"/>
      <c r="C25" s="31"/>
      <c r="D25" s="31"/>
      <c r="E25" s="9"/>
      <c r="F25" s="9"/>
      <c r="G25" s="9"/>
      <c r="H25" s="9"/>
      <c r="I25" s="9"/>
      <c r="J25" s="9"/>
      <c r="K25" s="9"/>
      <c r="L25" s="9"/>
      <c r="M25" s="9"/>
      <c r="N25" s="9"/>
      <c r="O25" s="9"/>
      <c r="P25" s="9"/>
      <c r="Q25" s="9"/>
      <c r="R25" s="28"/>
      <c r="S25" s="28"/>
      <c r="T25" s="28"/>
      <c r="U25" s="28"/>
      <c r="V25" s="28"/>
      <c r="W25" s="28"/>
      <c r="X25" s="28"/>
      <c r="Y25" s="28"/>
      <c r="Z25" s="28"/>
      <c r="AA25" s="28"/>
      <c r="AB25" s="28"/>
    </row>
    <row r="26" spans="1:31" ht="21" customHeight="1">
      <c r="A26" s="31"/>
      <c r="B26" s="31"/>
      <c r="C26" s="31"/>
      <c r="D26" s="31"/>
      <c r="E26" s="9"/>
      <c r="F26" s="9"/>
      <c r="G26" s="9"/>
      <c r="H26" s="9"/>
      <c r="I26" s="9"/>
      <c r="J26" s="9"/>
      <c r="K26" s="9"/>
      <c r="L26" s="9"/>
      <c r="M26" s="9"/>
      <c r="N26" s="9"/>
      <c r="O26" s="9"/>
      <c r="P26" s="9"/>
      <c r="Q26" s="9"/>
      <c r="R26" s="9"/>
      <c r="S26" s="9"/>
      <c r="T26" s="9"/>
      <c r="U26" s="9"/>
      <c r="V26" s="9"/>
      <c r="W26" s="9"/>
      <c r="X26" s="9"/>
      <c r="Y26" s="9"/>
      <c r="Z26" s="9"/>
      <c r="AA26" s="9"/>
      <c r="AB26" s="9"/>
    </row>
    <row r="27" spans="1:31" ht="21" customHeight="1">
      <c r="A27" s="31"/>
      <c r="B27" s="31"/>
      <c r="C27" s="31"/>
      <c r="D27" s="31"/>
      <c r="E27" s="9"/>
      <c r="F27" s="9"/>
      <c r="G27" s="9"/>
      <c r="H27" s="9"/>
      <c r="I27" s="9"/>
      <c r="J27" s="9"/>
      <c r="K27" s="9"/>
      <c r="L27" s="9"/>
      <c r="M27" s="9"/>
      <c r="N27" s="9"/>
      <c r="O27" s="9"/>
      <c r="P27" s="9"/>
      <c r="Q27" s="9"/>
      <c r="R27" s="9"/>
      <c r="S27" s="9"/>
      <c r="T27" s="9"/>
      <c r="U27" s="9"/>
      <c r="V27" s="9"/>
      <c r="W27" s="9"/>
      <c r="X27" s="9"/>
      <c r="Y27" s="9"/>
      <c r="Z27" s="9"/>
      <c r="AA27" s="9"/>
      <c r="AB27" s="9"/>
    </row>
    <row r="28" spans="1:31" ht="21" customHeight="1">
      <c r="A28" s="31"/>
      <c r="B28" s="31"/>
      <c r="C28" s="31"/>
      <c r="D28" s="31"/>
      <c r="E28" s="9"/>
      <c r="F28" s="28" t="str">
        <f>IF(F12=0,"No risks match these filters.","Risk distribution total: "&amp;SUM(AF3:AF6)&amp;" / "&amp;F12&amp;" risks in view")</f>
        <v>Risk distribution total: 4 / 4 risks in view</v>
      </c>
      <c r="G28" s="28"/>
      <c r="H28" s="28"/>
      <c r="I28" s="28"/>
      <c r="J28" s="28"/>
      <c r="K28" s="28"/>
      <c r="L28" s="28"/>
      <c r="M28" s="28"/>
      <c r="N28" s="28"/>
      <c r="O28" s="28"/>
      <c r="P28" s="28"/>
      <c r="Q28" s="9"/>
      <c r="R28" s="9"/>
      <c r="S28" s="9"/>
      <c r="T28" s="9"/>
      <c r="U28" s="9"/>
      <c r="V28" s="9"/>
      <c r="W28" s="9"/>
      <c r="X28" s="9"/>
      <c r="Y28" s="9"/>
      <c r="Z28" s="9"/>
      <c r="AA28" s="9"/>
      <c r="AB28" s="9"/>
    </row>
    <row r="29" spans="1:31" ht="21" customHeight="1">
      <c r="A29" s="31"/>
      <c r="B29" s="31"/>
      <c r="C29" s="31"/>
      <c r="D29" s="31"/>
      <c r="E29" s="9"/>
      <c r="F29" s="9"/>
      <c r="G29" s="9"/>
      <c r="H29" s="9"/>
      <c r="I29" s="9"/>
      <c r="J29" s="9"/>
      <c r="K29" s="9"/>
      <c r="L29" s="9"/>
      <c r="M29" s="9"/>
      <c r="N29" s="9"/>
      <c r="O29" s="9"/>
      <c r="P29" s="9"/>
      <c r="Q29" s="9"/>
      <c r="R29" s="39" t="s">
        <v>231</v>
      </c>
      <c r="S29" s="39" t="s">
        <v>154</v>
      </c>
      <c r="T29" s="39" t="s">
        <v>154</v>
      </c>
      <c r="U29" s="39" t="s">
        <v>154</v>
      </c>
      <c r="V29" s="39" t="s">
        <v>154</v>
      </c>
      <c r="W29" s="39" t="s">
        <v>154</v>
      </c>
      <c r="X29" s="40" t="s">
        <v>49</v>
      </c>
      <c r="Y29" s="40" t="s">
        <v>49</v>
      </c>
      <c r="Z29" s="40" t="s">
        <v>49</v>
      </c>
      <c r="AA29" s="40" t="s">
        <v>49</v>
      </c>
      <c r="AB29" s="40" t="s">
        <v>49</v>
      </c>
    </row>
    <row r="30" spans="1:31" ht="21" customHeight="1">
      <c r="A30" s="31"/>
      <c r="B30" s="31"/>
      <c r="C30" s="31"/>
      <c r="D30" s="31"/>
      <c r="E30" s="9"/>
      <c r="F30" s="58" t="s">
        <v>25</v>
      </c>
      <c r="G30" s="58"/>
      <c r="H30" s="58"/>
      <c r="I30" s="58"/>
      <c r="J30" s="58"/>
      <c r="K30" s="58"/>
      <c r="L30" s="58"/>
      <c r="M30" s="58"/>
      <c r="N30" s="58"/>
      <c r="O30" s="58"/>
      <c r="P30" s="58"/>
      <c r="Q30" s="9"/>
      <c r="R30" s="58" t="str">
        <f>IF($AE$20=0,"SELECT A VALID RISK",INDEX('Risk Register'!$F$7:$F$106,$AE$20)&amp;" / ASSESSMENT SNAPSHOT")</f>
        <v>Missing MFA / ASSESSMENT SNAPSHOT</v>
      </c>
      <c r="S30" s="58"/>
      <c r="T30" s="58"/>
      <c r="U30" s="58"/>
      <c r="V30" s="58"/>
      <c r="W30" s="58"/>
      <c r="X30" s="58"/>
      <c r="Y30" s="58"/>
      <c r="Z30" s="58"/>
      <c r="AA30" s="58"/>
      <c r="AB30" s="58"/>
      <c r="AE30">
        <f ca="1">IF(OR('Remediation Tracker'!E7="",AND('Remediation Tracker'!I7="Approved",'Remediation Tracker'!J7="Completed",ISNUMBER('Remediation Tracker'!L7),'Remediation Tracker'!L7&gt;0,'Remediation Tracker'!L7&lt;=TODAY(),'Remediation Tracker'!N7="Validated",IFERROR(AND('Remediation Tracker'!M7&lt;&gt;"",COUNTIF('Evidence Tracker'!$E$7:$E$106,'Remediation Tracker'!M7)=1,ISNUMBER(INDEX('Evidence Tracker'!$M$7:$M$106,MATCH('Remediation Tracker'!M7,'Evidence Tracker'!$E$7:$E$106,0))),LEN(TRIM(INDEX('Evidence Tracker'!$O$7:$O$106,MATCH('Remediation Tracker'!M7,'Evidence Tracker'!$E$7:$E$106,0))))&gt;0,LEN(TRIM(INDEX('Evidence Tracker'!$P$7:$P$106,MATCH('Remediation Tracker'!M7,'Evidence Tracker'!$E$7:$E$106,0))))&gt;0,COUNTIFS('Evidence Tracker'!$E$7:$E$106,'Remediation Tracker'!M7,'Evidence Tracker'!$F$7:$F$106,'Remediation Tracker'!F7,'Evidence Tracker'!$N$7:$N$106,"Reviewed",'Evidence Tracker'!$Q$7:$Q$106,"Validated",'Evidence Tracker'!$M$7:$M$106,"&gt;0",'Evidence Tracker'!$M$7:$M$106,"&lt;="&amp;TODAY())=1),FALSE))),0,IFERROR(INDEX('Risk Register'!$M$7:$M$106,MATCH('Remediation Tracker'!F7,'Risk Register'!$E$7:$E$106,0)),0)*10000+IF(AND(ISNUMBER('Remediation Tracker'!K7),'Remediation Tracker'!K7&lt;TODAY(),'Remediation Tracker'!J7&lt;&gt;"Completed"),1000,0)+107-ROW('Remediation Tracker'!E7))</f>
        <v>120100</v>
      </c>
    </row>
    <row r="31" spans="1:31" ht="21" customHeight="1">
      <c r="A31" s="31"/>
      <c r="B31" s="31"/>
      <c r="C31" s="31"/>
      <c r="D31" s="31"/>
      <c r="E31" s="9"/>
      <c r="F31" s="9"/>
      <c r="G31" s="9"/>
      <c r="H31" s="9"/>
      <c r="I31" s="9"/>
      <c r="J31" s="9"/>
      <c r="K31" s="9"/>
      <c r="L31" s="9"/>
      <c r="M31" s="9"/>
      <c r="N31" s="9"/>
      <c r="O31" s="9"/>
      <c r="P31" s="9"/>
      <c r="Q31" s="9"/>
      <c r="R31" s="9"/>
      <c r="S31" s="9"/>
      <c r="T31" s="9"/>
      <c r="U31" s="9"/>
      <c r="V31" s="9"/>
      <c r="W31" s="9"/>
      <c r="X31" s="9"/>
      <c r="Y31" s="9"/>
      <c r="Z31" s="9"/>
      <c r="AA31" s="9"/>
      <c r="AB31" s="9"/>
      <c r="AE31">
        <f ca="1">IF(OR('Remediation Tracker'!E8="",AND('Remediation Tracker'!I8="Approved",'Remediation Tracker'!J8="Completed",ISNUMBER('Remediation Tracker'!L8),'Remediation Tracker'!L8&gt;0,'Remediation Tracker'!L8&lt;=TODAY(),'Remediation Tracker'!N8="Validated",IFERROR(AND('Remediation Tracker'!M8&lt;&gt;"",COUNTIF('Evidence Tracker'!$E$7:$E$106,'Remediation Tracker'!M8)=1,ISNUMBER(INDEX('Evidence Tracker'!$M$7:$M$106,MATCH('Remediation Tracker'!M8,'Evidence Tracker'!$E$7:$E$106,0))),LEN(TRIM(INDEX('Evidence Tracker'!$O$7:$O$106,MATCH('Remediation Tracker'!M8,'Evidence Tracker'!$E$7:$E$106,0))))&gt;0,LEN(TRIM(INDEX('Evidence Tracker'!$P$7:$P$106,MATCH('Remediation Tracker'!M8,'Evidence Tracker'!$E$7:$E$106,0))))&gt;0,COUNTIFS('Evidence Tracker'!$E$7:$E$106,'Remediation Tracker'!M8,'Evidence Tracker'!$F$7:$F$106,'Remediation Tracker'!F8,'Evidence Tracker'!$N$7:$N$106,"Reviewed",'Evidence Tracker'!$Q$7:$Q$106,"Validated",'Evidence Tracker'!$M$7:$M$106,"&gt;0",'Evidence Tracker'!$M$7:$M$106,"&lt;="&amp;TODAY())=1),FALSE))),0,IFERROR(INDEX('Risk Register'!$M$7:$M$106,MATCH('Remediation Tracker'!F8,'Risk Register'!$E$7:$E$106,0)),0)*10000+IF(AND(ISNUMBER('Remediation Tracker'!K8),'Remediation Tracker'!K8&lt;TODAY(),'Remediation Tracker'!J8&lt;&gt;"Completed"),1000,0)+107-ROW('Remediation Tracker'!E8))</f>
        <v>120099</v>
      </c>
    </row>
    <row r="32" spans="1:31" ht="21" customHeight="1">
      <c r="A32" s="31"/>
      <c r="B32" s="31"/>
      <c r="C32" s="31"/>
      <c r="D32" s="31"/>
      <c r="E32" s="9"/>
      <c r="F32" s="9"/>
      <c r="G32" s="9"/>
      <c r="H32" s="9"/>
      <c r="I32" s="9"/>
      <c r="J32" s="9"/>
      <c r="K32" s="9"/>
      <c r="L32" s="9"/>
      <c r="M32" s="9"/>
      <c r="N32" s="9"/>
      <c r="O32" s="9"/>
      <c r="P32" s="9"/>
      <c r="Q32" s="9"/>
      <c r="R32" s="55" t="str">
        <f>IF($AE$20=0,"No risk selected",INDEX('Risk Register'!$F$7:$F$106,$AE$20))</f>
        <v>Missing MFA</v>
      </c>
      <c r="S32" s="55"/>
      <c r="T32" s="55"/>
      <c r="U32" s="55"/>
      <c r="V32" s="55"/>
      <c r="W32" s="55"/>
      <c r="X32" s="55"/>
      <c r="Y32" s="56" t="str">
        <f>IF($AE$20=0,"",INDEX('Risk Register'!$M$7:$M$106,$AE$20)&amp;" / "&amp;INDEX('Risk Register'!$N$7:$N$106,$AE$20))</f>
        <v>12 / High</v>
      </c>
      <c r="Z32" s="56"/>
      <c r="AA32" s="56"/>
      <c r="AB32" s="56"/>
      <c r="AE32">
        <f ca="1">IF(OR('Remediation Tracker'!E9="",AND('Remediation Tracker'!I9="Approved",'Remediation Tracker'!J9="Completed",ISNUMBER('Remediation Tracker'!L9),'Remediation Tracker'!L9&gt;0,'Remediation Tracker'!L9&lt;=TODAY(),'Remediation Tracker'!N9="Validated",IFERROR(AND('Remediation Tracker'!M9&lt;&gt;"",COUNTIF('Evidence Tracker'!$E$7:$E$106,'Remediation Tracker'!M9)=1,ISNUMBER(INDEX('Evidence Tracker'!$M$7:$M$106,MATCH('Remediation Tracker'!M9,'Evidence Tracker'!$E$7:$E$106,0))),LEN(TRIM(INDEX('Evidence Tracker'!$O$7:$O$106,MATCH('Remediation Tracker'!M9,'Evidence Tracker'!$E$7:$E$106,0))))&gt;0,LEN(TRIM(INDEX('Evidence Tracker'!$P$7:$P$106,MATCH('Remediation Tracker'!M9,'Evidence Tracker'!$E$7:$E$106,0))))&gt;0,COUNTIFS('Evidence Tracker'!$E$7:$E$106,'Remediation Tracker'!M9,'Evidence Tracker'!$F$7:$F$106,'Remediation Tracker'!F9,'Evidence Tracker'!$N$7:$N$106,"Reviewed",'Evidence Tracker'!$Q$7:$Q$106,"Validated",'Evidence Tracker'!$M$7:$M$106,"&gt;0",'Evidence Tracker'!$M$7:$M$106,"&lt;="&amp;TODAY())=1),FALSE))),0,IFERROR(INDEX('Risk Register'!$M$7:$M$106,MATCH('Remediation Tracker'!F9,'Risk Register'!$E$7:$E$106,0)),0)*10000+IF(AND(ISNUMBER('Remediation Tracker'!K9),'Remediation Tracker'!K9&lt;TODAY(),'Remediation Tracker'!J9&lt;&gt;"Completed"),1000,0)+107-ROW('Remediation Tracker'!E9))</f>
        <v>120098</v>
      </c>
    </row>
    <row r="33" spans="1:31" ht="21" customHeight="1">
      <c r="A33" s="31"/>
      <c r="B33" s="31"/>
      <c r="C33" s="31"/>
      <c r="D33" s="31"/>
      <c r="E33" s="9"/>
      <c r="F33" s="9"/>
      <c r="G33" s="9"/>
      <c r="H33" s="9"/>
      <c r="I33" s="9"/>
      <c r="J33" s="9"/>
      <c r="K33" s="9"/>
      <c r="L33" s="9"/>
      <c r="M33" s="9"/>
      <c r="N33" s="9"/>
      <c r="O33" s="9"/>
      <c r="P33" s="9"/>
      <c r="Q33" s="9"/>
      <c r="R33" s="55"/>
      <c r="S33" s="55"/>
      <c r="T33" s="55"/>
      <c r="U33" s="55"/>
      <c r="V33" s="55"/>
      <c r="W33" s="55"/>
      <c r="X33" s="55"/>
      <c r="Y33" s="56"/>
      <c r="Z33" s="56"/>
      <c r="AA33" s="56"/>
      <c r="AB33" s="56"/>
      <c r="AE33">
        <f ca="1">IF(OR('Remediation Tracker'!E10="",AND('Remediation Tracker'!I10="Approved",'Remediation Tracker'!J10="Completed",ISNUMBER('Remediation Tracker'!L10),'Remediation Tracker'!L10&gt;0,'Remediation Tracker'!L10&lt;=TODAY(),'Remediation Tracker'!N10="Validated",IFERROR(AND('Remediation Tracker'!M10&lt;&gt;"",COUNTIF('Evidence Tracker'!$E$7:$E$106,'Remediation Tracker'!M10)=1,ISNUMBER(INDEX('Evidence Tracker'!$M$7:$M$106,MATCH('Remediation Tracker'!M10,'Evidence Tracker'!$E$7:$E$106,0))),LEN(TRIM(INDEX('Evidence Tracker'!$O$7:$O$106,MATCH('Remediation Tracker'!M10,'Evidence Tracker'!$E$7:$E$106,0))))&gt;0,LEN(TRIM(INDEX('Evidence Tracker'!$P$7:$P$106,MATCH('Remediation Tracker'!M10,'Evidence Tracker'!$E$7:$E$106,0))))&gt;0,COUNTIFS('Evidence Tracker'!$E$7:$E$106,'Remediation Tracker'!M10,'Evidence Tracker'!$F$7:$F$106,'Remediation Tracker'!F10,'Evidence Tracker'!$N$7:$N$106,"Reviewed",'Evidence Tracker'!$Q$7:$Q$106,"Validated",'Evidence Tracker'!$M$7:$M$106,"&gt;0",'Evidence Tracker'!$M$7:$M$106,"&lt;="&amp;TODAY())=1),FALSE))),0,IFERROR(INDEX('Risk Register'!$M$7:$M$106,MATCH('Remediation Tracker'!F10,'Risk Register'!$E$7:$E$106,0)),0)*10000+IF(AND(ISNUMBER('Remediation Tracker'!K10),'Remediation Tracker'!K10&lt;TODAY(),'Remediation Tracker'!J10&lt;&gt;"Completed"),1000,0)+107-ROW('Remediation Tracker'!E10))</f>
        <v>120097</v>
      </c>
    </row>
    <row r="34" spans="1:31" ht="21" customHeight="1">
      <c r="A34" s="31"/>
      <c r="B34" s="31"/>
      <c r="C34" s="31"/>
      <c r="D34" s="31"/>
      <c r="E34" s="9"/>
      <c r="F34" s="9"/>
      <c r="G34" s="9"/>
      <c r="H34" s="9"/>
      <c r="I34" s="9"/>
      <c r="J34" s="9"/>
      <c r="K34" s="9"/>
      <c r="L34" s="9"/>
      <c r="M34" s="9"/>
      <c r="N34" s="9"/>
      <c r="O34" s="9"/>
      <c r="P34" s="9"/>
      <c r="Q34" s="9"/>
      <c r="R34" s="9"/>
      <c r="S34" s="9"/>
      <c r="T34" s="9"/>
      <c r="U34" s="9"/>
      <c r="V34" s="9"/>
      <c r="W34" s="9"/>
      <c r="X34" s="9"/>
      <c r="Y34" s="9"/>
      <c r="Z34" s="9"/>
      <c r="AA34" s="9"/>
      <c r="AB34" s="9"/>
      <c r="AE34">
        <f ca="1">IF(OR('Remediation Tracker'!E11="",AND('Remediation Tracker'!I11="Approved",'Remediation Tracker'!J11="Completed",ISNUMBER('Remediation Tracker'!L11),'Remediation Tracker'!L11&gt;0,'Remediation Tracker'!L11&lt;=TODAY(),'Remediation Tracker'!N11="Validated",IFERROR(AND('Remediation Tracker'!M11&lt;&gt;"",COUNTIF('Evidence Tracker'!$E$7:$E$106,'Remediation Tracker'!M11)=1,ISNUMBER(INDEX('Evidence Tracker'!$M$7:$M$106,MATCH('Remediation Tracker'!M11,'Evidence Tracker'!$E$7:$E$106,0))),LEN(TRIM(INDEX('Evidence Tracker'!$O$7:$O$106,MATCH('Remediation Tracker'!M11,'Evidence Tracker'!$E$7:$E$106,0))))&gt;0,LEN(TRIM(INDEX('Evidence Tracker'!$P$7:$P$106,MATCH('Remediation Tracker'!M11,'Evidence Tracker'!$E$7:$E$106,0))))&gt;0,COUNTIFS('Evidence Tracker'!$E$7:$E$106,'Remediation Tracker'!M11,'Evidence Tracker'!$F$7:$F$106,'Remediation Tracker'!F11,'Evidence Tracker'!$N$7:$N$106,"Reviewed",'Evidence Tracker'!$Q$7:$Q$106,"Validated",'Evidence Tracker'!$M$7:$M$106,"&gt;0",'Evidence Tracker'!$M$7:$M$106,"&lt;="&amp;TODAY())=1),FALSE))),0,IFERROR(INDEX('Risk Register'!$M$7:$M$106,MATCH('Remediation Tracker'!F11,'Risk Register'!$E$7:$E$106,0)),0)*10000+IF(AND(ISNUMBER('Remediation Tracker'!K11),'Remediation Tracker'!K11&lt;TODAY(),'Remediation Tracker'!J11&lt;&gt;"Completed"),1000,0)+107-ROW('Remediation Tracker'!E11))</f>
        <v>0</v>
      </c>
    </row>
    <row r="35" spans="1:31" ht="21" customHeight="1">
      <c r="A35" s="31"/>
      <c r="B35" s="31"/>
      <c r="C35" s="31"/>
      <c r="D35" s="31"/>
      <c r="E35" s="9"/>
      <c r="F35" s="9"/>
      <c r="G35" s="9"/>
      <c r="H35" s="9"/>
      <c r="I35" s="9"/>
      <c r="J35" s="9"/>
      <c r="K35" s="9"/>
      <c r="L35" s="9"/>
      <c r="M35" s="9"/>
      <c r="N35" s="9"/>
      <c r="O35" s="9"/>
      <c r="P35" s="9"/>
      <c r="Q35" s="9"/>
      <c r="R35" s="57" t="str">
        <f>IF($AE$20=0,"Choose a risk above.","Validation: "&amp;INDEX('Risk Register'!$Q$7:$Q$106,$AE$20)&amp;". Owner: "&amp;INDEX('Risk Register'!$O$7:$O$106,$AE$20)&amp;". Workflow: "&amp;INDEX('Risk Register'!$R$7:$R$106,$AE$20)&amp;". See the scorecard and actions below for evidence and approval needs.")</f>
        <v>Validation: Pending validation. Owner: Security owner - proposed. Workflow: Proposed. See the scorecard and actions below for evidence and approval needs.</v>
      </c>
      <c r="S35" s="57"/>
      <c r="T35" s="57"/>
      <c r="U35" s="57"/>
      <c r="V35" s="57"/>
      <c r="W35" s="57"/>
      <c r="X35" s="57"/>
      <c r="Y35" s="57"/>
      <c r="Z35" s="57"/>
      <c r="AA35" s="57"/>
      <c r="AB35" s="57"/>
      <c r="AE35">
        <f ca="1">IF(OR('Remediation Tracker'!E12="",AND('Remediation Tracker'!I12="Approved",'Remediation Tracker'!J12="Completed",ISNUMBER('Remediation Tracker'!L12),'Remediation Tracker'!L12&gt;0,'Remediation Tracker'!L12&lt;=TODAY(),'Remediation Tracker'!N12="Validated",IFERROR(AND('Remediation Tracker'!M12&lt;&gt;"",COUNTIF('Evidence Tracker'!$E$7:$E$106,'Remediation Tracker'!M12)=1,ISNUMBER(INDEX('Evidence Tracker'!$M$7:$M$106,MATCH('Remediation Tracker'!M12,'Evidence Tracker'!$E$7:$E$106,0))),LEN(TRIM(INDEX('Evidence Tracker'!$O$7:$O$106,MATCH('Remediation Tracker'!M12,'Evidence Tracker'!$E$7:$E$106,0))))&gt;0,LEN(TRIM(INDEX('Evidence Tracker'!$P$7:$P$106,MATCH('Remediation Tracker'!M12,'Evidence Tracker'!$E$7:$E$106,0))))&gt;0,COUNTIFS('Evidence Tracker'!$E$7:$E$106,'Remediation Tracker'!M12,'Evidence Tracker'!$F$7:$F$106,'Remediation Tracker'!F12,'Evidence Tracker'!$N$7:$N$106,"Reviewed",'Evidence Tracker'!$Q$7:$Q$106,"Validated",'Evidence Tracker'!$M$7:$M$106,"&gt;0",'Evidence Tracker'!$M$7:$M$106,"&lt;="&amp;TODAY())=1),FALSE))),0,IFERROR(INDEX('Risk Register'!$M$7:$M$106,MATCH('Remediation Tracker'!F12,'Risk Register'!$E$7:$E$106,0)),0)*10000+IF(AND(ISNUMBER('Remediation Tracker'!K12),'Remediation Tracker'!K12&lt;TODAY(),'Remediation Tracker'!J12&lt;&gt;"Completed"),1000,0)+107-ROW('Remediation Tracker'!E12))</f>
        <v>0</v>
      </c>
    </row>
    <row r="36" spans="1:31" ht="21" customHeight="1">
      <c r="A36" s="31"/>
      <c r="B36" s="31"/>
      <c r="C36" s="31"/>
      <c r="D36" s="31"/>
      <c r="E36" s="9"/>
      <c r="F36" s="9"/>
      <c r="G36" s="9"/>
      <c r="H36" s="9"/>
      <c r="I36" s="9"/>
      <c r="J36" s="9"/>
      <c r="K36" s="9"/>
      <c r="L36" s="9"/>
      <c r="M36" s="9"/>
      <c r="N36" s="9"/>
      <c r="O36" s="9"/>
      <c r="P36" s="9"/>
      <c r="Q36" s="9"/>
      <c r="R36" s="57"/>
      <c r="S36" s="57"/>
      <c r="T36" s="57"/>
      <c r="U36" s="57"/>
      <c r="V36" s="57"/>
      <c r="W36" s="57"/>
      <c r="X36" s="57"/>
      <c r="Y36" s="57"/>
      <c r="Z36" s="57"/>
      <c r="AA36" s="57"/>
      <c r="AB36" s="57"/>
      <c r="AE36">
        <f ca="1">IF(OR('Remediation Tracker'!E13="",AND('Remediation Tracker'!I13="Approved",'Remediation Tracker'!J13="Completed",ISNUMBER('Remediation Tracker'!L13),'Remediation Tracker'!L13&gt;0,'Remediation Tracker'!L13&lt;=TODAY(),'Remediation Tracker'!N13="Validated",IFERROR(AND('Remediation Tracker'!M13&lt;&gt;"",COUNTIF('Evidence Tracker'!$E$7:$E$106,'Remediation Tracker'!M13)=1,ISNUMBER(INDEX('Evidence Tracker'!$M$7:$M$106,MATCH('Remediation Tracker'!M13,'Evidence Tracker'!$E$7:$E$106,0))),LEN(TRIM(INDEX('Evidence Tracker'!$O$7:$O$106,MATCH('Remediation Tracker'!M13,'Evidence Tracker'!$E$7:$E$106,0))))&gt;0,LEN(TRIM(INDEX('Evidence Tracker'!$P$7:$P$106,MATCH('Remediation Tracker'!M13,'Evidence Tracker'!$E$7:$E$106,0))))&gt;0,COUNTIFS('Evidence Tracker'!$E$7:$E$106,'Remediation Tracker'!M13,'Evidence Tracker'!$F$7:$F$106,'Remediation Tracker'!F13,'Evidence Tracker'!$N$7:$N$106,"Reviewed",'Evidence Tracker'!$Q$7:$Q$106,"Validated",'Evidence Tracker'!$M$7:$M$106,"&gt;0",'Evidence Tracker'!$M$7:$M$106,"&lt;="&amp;TODAY())=1),FALSE))),0,IFERROR(INDEX('Risk Register'!$M$7:$M$106,MATCH('Remediation Tracker'!F13,'Risk Register'!$E$7:$E$106,0)),0)*10000+IF(AND(ISNUMBER('Remediation Tracker'!K13),'Remediation Tracker'!K13&lt;TODAY(),'Remediation Tracker'!J13&lt;&gt;"Completed"),1000,0)+107-ROW('Remediation Tracker'!E13))</f>
        <v>0</v>
      </c>
    </row>
    <row r="37" spans="1:31" ht="21" customHeight="1">
      <c r="A37" s="31"/>
      <c r="B37" s="31"/>
      <c r="C37" s="31"/>
      <c r="D37" s="31"/>
      <c r="E37" s="9"/>
      <c r="F37" s="9"/>
      <c r="G37" s="9"/>
      <c r="H37" s="9"/>
      <c r="I37" s="9"/>
      <c r="J37" s="9"/>
      <c r="K37" s="9"/>
      <c r="L37" s="9"/>
      <c r="M37" s="9"/>
      <c r="N37" s="9"/>
      <c r="O37" s="9"/>
      <c r="P37" s="9"/>
      <c r="Q37" s="9"/>
      <c r="R37" s="57"/>
      <c r="S37" s="57"/>
      <c r="T37" s="57"/>
      <c r="U37" s="57"/>
      <c r="V37" s="57"/>
      <c r="W37" s="57"/>
      <c r="X37" s="57"/>
      <c r="Y37" s="57"/>
      <c r="Z37" s="57"/>
      <c r="AA37" s="57"/>
      <c r="AB37" s="57"/>
      <c r="AE37">
        <f ca="1">IF(OR('Remediation Tracker'!E14="",AND('Remediation Tracker'!I14="Approved",'Remediation Tracker'!J14="Completed",ISNUMBER('Remediation Tracker'!L14),'Remediation Tracker'!L14&gt;0,'Remediation Tracker'!L14&lt;=TODAY(),'Remediation Tracker'!N14="Validated",IFERROR(AND('Remediation Tracker'!M14&lt;&gt;"",COUNTIF('Evidence Tracker'!$E$7:$E$106,'Remediation Tracker'!M14)=1,ISNUMBER(INDEX('Evidence Tracker'!$M$7:$M$106,MATCH('Remediation Tracker'!M14,'Evidence Tracker'!$E$7:$E$106,0))),LEN(TRIM(INDEX('Evidence Tracker'!$O$7:$O$106,MATCH('Remediation Tracker'!M14,'Evidence Tracker'!$E$7:$E$106,0))))&gt;0,LEN(TRIM(INDEX('Evidence Tracker'!$P$7:$P$106,MATCH('Remediation Tracker'!M14,'Evidence Tracker'!$E$7:$E$106,0))))&gt;0,COUNTIFS('Evidence Tracker'!$E$7:$E$106,'Remediation Tracker'!M14,'Evidence Tracker'!$F$7:$F$106,'Remediation Tracker'!F14,'Evidence Tracker'!$N$7:$N$106,"Reviewed",'Evidence Tracker'!$Q$7:$Q$106,"Validated",'Evidence Tracker'!$M$7:$M$106,"&gt;0",'Evidence Tracker'!$M$7:$M$106,"&lt;="&amp;TODAY())=1),FALSE))),0,IFERROR(INDEX('Risk Register'!$M$7:$M$106,MATCH('Remediation Tracker'!F14,'Risk Register'!$E$7:$E$106,0)),0)*10000+IF(AND(ISNUMBER('Remediation Tracker'!K14),'Remediation Tracker'!K14&lt;TODAY(),'Remediation Tracker'!J14&lt;&gt;"Completed"),1000,0)+107-ROW('Remediation Tracker'!E14))</f>
        <v>0</v>
      </c>
    </row>
    <row r="38" spans="1:31" ht="21" customHeight="1">
      <c r="A38" s="31"/>
      <c r="B38" s="31"/>
      <c r="C38" s="31"/>
      <c r="D38" s="31"/>
      <c r="E38" s="9"/>
      <c r="F38" s="9"/>
      <c r="G38" s="9"/>
      <c r="H38" s="9"/>
      <c r="I38" s="9"/>
      <c r="J38" s="9"/>
      <c r="K38" s="9"/>
      <c r="L38" s="9"/>
      <c r="M38" s="9"/>
      <c r="N38" s="9"/>
      <c r="O38" s="9"/>
      <c r="P38" s="9"/>
      <c r="Q38" s="9"/>
      <c r="R38" s="9"/>
      <c r="S38" s="9"/>
      <c r="T38" s="9"/>
      <c r="U38" s="9"/>
      <c r="V38" s="9"/>
      <c r="W38" s="9"/>
      <c r="X38" s="9"/>
      <c r="Y38" s="9"/>
      <c r="Z38" s="9"/>
      <c r="AA38" s="9"/>
      <c r="AB38" s="9"/>
      <c r="AE38">
        <f ca="1">IF(OR('Remediation Tracker'!E15="",AND('Remediation Tracker'!I15="Approved",'Remediation Tracker'!J15="Completed",ISNUMBER('Remediation Tracker'!L15),'Remediation Tracker'!L15&gt;0,'Remediation Tracker'!L15&lt;=TODAY(),'Remediation Tracker'!N15="Validated",IFERROR(AND('Remediation Tracker'!M15&lt;&gt;"",COUNTIF('Evidence Tracker'!$E$7:$E$106,'Remediation Tracker'!M15)=1,ISNUMBER(INDEX('Evidence Tracker'!$M$7:$M$106,MATCH('Remediation Tracker'!M15,'Evidence Tracker'!$E$7:$E$106,0))),LEN(TRIM(INDEX('Evidence Tracker'!$O$7:$O$106,MATCH('Remediation Tracker'!M15,'Evidence Tracker'!$E$7:$E$106,0))))&gt;0,LEN(TRIM(INDEX('Evidence Tracker'!$P$7:$P$106,MATCH('Remediation Tracker'!M15,'Evidence Tracker'!$E$7:$E$106,0))))&gt;0,COUNTIFS('Evidence Tracker'!$E$7:$E$106,'Remediation Tracker'!M15,'Evidence Tracker'!$F$7:$F$106,'Remediation Tracker'!F15,'Evidence Tracker'!$N$7:$N$106,"Reviewed",'Evidence Tracker'!$Q$7:$Q$106,"Validated",'Evidence Tracker'!$M$7:$M$106,"&gt;0",'Evidence Tracker'!$M$7:$M$106,"&lt;="&amp;TODAY())=1),FALSE))),0,IFERROR(INDEX('Risk Register'!$M$7:$M$106,MATCH('Remediation Tracker'!F15,'Risk Register'!$E$7:$E$106,0)),0)*10000+IF(AND(ISNUMBER('Remediation Tracker'!K15),'Remediation Tracker'!K15&lt;TODAY(),'Remediation Tracker'!J15&lt;&gt;"Completed"),1000,0)+107-ROW('Remediation Tracker'!E15))</f>
        <v>0</v>
      </c>
    </row>
    <row r="39" spans="1:31" ht="21" customHeight="1">
      <c r="A39" s="31"/>
      <c r="B39" s="31"/>
      <c r="C39" s="31"/>
      <c r="D39" s="31"/>
      <c r="E39" s="9"/>
      <c r="F39" s="9"/>
      <c r="G39" s="9"/>
      <c r="H39" s="9"/>
      <c r="I39" s="9"/>
      <c r="J39" s="9"/>
      <c r="K39" s="9"/>
      <c r="L39" s="9"/>
      <c r="M39" s="9"/>
      <c r="N39" s="9"/>
      <c r="O39" s="9"/>
      <c r="P39" s="9"/>
      <c r="Q39" s="9"/>
      <c r="R39" s="44" t="s">
        <v>26</v>
      </c>
      <c r="S39" s="44"/>
      <c r="T39" s="44"/>
      <c r="U39" s="44"/>
      <c r="V39" s="44"/>
      <c r="W39" s="44"/>
      <c r="X39" s="44"/>
      <c r="Y39" s="44"/>
      <c r="Z39" s="44"/>
      <c r="AA39" s="26"/>
      <c r="AB39" s="26">
        <f>COUNTIFS('Evidence Tracker'!$E$7:$E$106,"&lt;&gt;",'Evidence Tracker'!$Q$7:$Q$106,"Validated")</f>
        <v>0</v>
      </c>
      <c r="AE39">
        <f ca="1">IF(OR('Remediation Tracker'!E16="",AND('Remediation Tracker'!I16="Approved",'Remediation Tracker'!J16="Completed",ISNUMBER('Remediation Tracker'!L16),'Remediation Tracker'!L16&gt;0,'Remediation Tracker'!L16&lt;=TODAY(),'Remediation Tracker'!N16="Validated",IFERROR(AND('Remediation Tracker'!M16&lt;&gt;"",COUNTIF('Evidence Tracker'!$E$7:$E$106,'Remediation Tracker'!M16)=1,ISNUMBER(INDEX('Evidence Tracker'!$M$7:$M$106,MATCH('Remediation Tracker'!M16,'Evidence Tracker'!$E$7:$E$106,0))),LEN(TRIM(INDEX('Evidence Tracker'!$O$7:$O$106,MATCH('Remediation Tracker'!M16,'Evidence Tracker'!$E$7:$E$106,0))))&gt;0,LEN(TRIM(INDEX('Evidence Tracker'!$P$7:$P$106,MATCH('Remediation Tracker'!M16,'Evidence Tracker'!$E$7:$E$106,0))))&gt;0,COUNTIFS('Evidence Tracker'!$E$7:$E$106,'Remediation Tracker'!M16,'Evidence Tracker'!$F$7:$F$106,'Remediation Tracker'!F16,'Evidence Tracker'!$N$7:$N$106,"Reviewed",'Evidence Tracker'!$Q$7:$Q$106,"Validated",'Evidence Tracker'!$M$7:$M$106,"&gt;0",'Evidence Tracker'!$M$7:$M$106,"&lt;="&amp;TODAY())=1),FALSE))),0,IFERROR(INDEX('Risk Register'!$M$7:$M$106,MATCH('Remediation Tracker'!F16,'Risk Register'!$E$7:$E$106,0)),0)*10000+IF(AND(ISNUMBER('Remediation Tracker'!K16),'Remediation Tracker'!K16&lt;TODAY(),'Remediation Tracker'!J16&lt;&gt;"Completed"),1000,0)+107-ROW('Remediation Tracker'!E16))</f>
        <v>0</v>
      </c>
    </row>
    <row r="40" spans="1:31" ht="21" customHeight="1">
      <c r="A40" s="31"/>
      <c r="B40" s="31"/>
      <c r="C40" s="31"/>
      <c r="D40" s="31"/>
      <c r="E40" s="9"/>
      <c r="F40" s="9"/>
      <c r="G40" s="9"/>
      <c r="H40" s="9"/>
      <c r="I40" s="9"/>
      <c r="J40" s="9"/>
      <c r="K40" s="9"/>
      <c r="L40" s="9"/>
      <c r="M40" s="9"/>
      <c r="N40" s="9"/>
      <c r="O40" s="9"/>
      <c r="P40" s="9"/>
      <c r="Q40" s="9"/>
      <c r="R40" s="44" t="s">
        <v>27</v>
      </c>
      <c r="S40" s="44"/>
      <c r="T40" s="44"/>
      <c r="U40" s="44"/>
      <c r="V40" s="44"/>
      <c r="W40" s="44"/>
      <c r="X40" s="44"/>
      <c r="Y40" s="44"/>
      <c r="Z40" s="44"/>
      <c r="AA40" s="26"/>
      <c r="AB40" s="26">
        <f ca="1">COUNTIFS('Remediation Tracker'!$O$7:$O$106,"&gt;0")</f>
        <v>0</v>
      </c>
      <c r="AE40">
        <f ca="1">IF(OR('Remediation Tracker'!E17="",AND('Remediation Tracker'!I17="Approved",'Remediation Tracker'!J17="Completed",ISNUMBER('Remediation Tracker'!L17),'Remediation Tracker'!L17&gt;0,'Remediation Tracker'!L17&lt;=TODAY(),'Remediation Tracker'!N17="Validated",IFERROR(AND('Remediation Tracker'!M17&lt;&gt;"",COUNTIF('Evidence Tracker'!$E$7:$E$106,'Remediation Tracker'!M17)=1,ISNUMBER(INDEX('Evidence Tracker'!$M$7:$M$106,MATCH('Remediation Tracker'!M17,'Evidence Tracker'!$E$7:$E$106,0))),LEN(TRIM(INDEX('Evidence Tracker'!$O$7:$O$106,MATCH('Remediation Tracker'!M17,'Evidence Tracker'!$E$7:$E$106,0))))&gt;0,LEN(TRIM(INDEX('Evidence Tracker'!$P$7:$P$106,MATCH('Remediation Tracker'!M17,'Evidence Tracker'!$E$7:$E$106,0))))&gt;0,COUNTIFS('Evidence Tracker'!$E$7:$E$106,'Remediation Tracker'!M17,'Evidence Tracker'!$F$7:$F$106,'Remediation Tracker'!F17,'Evidence Tracker'!$N$7:$N$106,"Reviewed",'Evidence Tracker'!$Q$7:$Q$106,"Validated",'Evidence Tracker'!$M$7:$M$106,"&gt;0",'Evidence Tracker'!$M$7:$M$106,"&lt;="&amp;TODAY())=1),FALSE))),0,IFERROR(INDEX('Risk Register'!$M$7:$M$106,MATCH('Remediation Tracker'!F17,'Risk Register'!$E$7:$E$106,0)),0)*10000+IF(AND(ISNUMBER('Remediation Tracker'!K17),'Remediation Tracker'!K17&lt;TODAY(),'Remediation Tracker'!J17&lt;&gt;"Completed"),1000,0)+107-ROW('Remediation Tracker'!E17))</f>
        <v>0</v>
      </c>
    </row>
    <row r="41" spans="1:31" ht="21" customHeight="1">
      <c r="A41" s="31"/>
      <c r="B41" s="31"/>
      <c r="C41" s="31"/>
      <c r="D41" s="31"/>
      <c r="E41" s="9"/>
      <c r="F41" s="9"/>
      <c r="G41" s="9"/>
      <c r="H41" s="9"/>
      <c r="I41" s="9"/>
      <c r="J41" s="9"/>
      <c r="K41" s="9"/>
      <c r="L41" s="9"/>
      <c r="M41" s="9"/>
      <c r="N41" s="9"/>
      <c r="O41" s="9"/>
      <c r="P41" s="9"/>
      <c r="Q41" s="9"/>
      <c r="R41" s="9"/>
      <c r="S41" s="9"/>
      <c r="T41" s="9"/>
      <c r="U41" s="9"/>
      <c r="V41" s="9"/>
      <c r="W41" s="9"/>
      <c r="X41" s="9"/>
      <c r="Y41" s="9"/>
      <c r="Z41" s="9"/>
      <c r="AA41" s="9"/>
      <c r="AB41" s="9"/>
      <c r="AE41">
        <f ca="1">IF(OR('Remediation Tracker'!E18="",AND('Remediation Tracker'!I18="Approved",'Remediation Tracker'!J18="Completed",ISNUMBER('Remediation Tracker'!L18),'Remediation Tracker'!L18&gt;0,'Remediation Tracker'!L18&lt;=TODAY(),'Remediation Tracker'!N18="Validated",IFERROR(AND('Remediation Tracker'!M18&lt;&gt;"",COUNTIF('Evidence Tracker'!$E$7:$E$106,'Remediation Tracker'!M18)=1,ISNUMBER(INDEX('Evidence Tracker'!$M$7:$M$106,MATCH('Remediation Tracker'!M18,'Evidence Tracker'!$E$7:$E$106,0))),LEN(TRIM(INDEX('Evidence Tracker'!$O$7:$O$106,MATCH('Remediation Tracker'!M18,'Evidence Tracker'!$E$7:$E$106,0))))&gt;0,LEN(TRIM(INDEX('Evidence Tracker'!$P$7:$P$106,MATCH('Remediation Tracker'!M18,'Evidence Tracker'!$E$7:$E$106,0))))&gt;0,COUNTIFS('Evidence Tracker'!$E$7:$E$106,'Remediation Tracker'!M18,'Evidence Tracker'!$F$7:$F$106,'Remediation Tracker'!F18,'Evidence Tracker'!$N$7:$N$106,"Reviewed",'Evidence Tracker'!$Q$7:$Q$106,"Validated",'Evidence Tracker'!$M$7:$M$106,"&gt;0",'Evidence Tracker'!$M$7:$M$106,"&lt;="&amp;TODAY())=1),FALSE))),0,IFERROR(INDEX('Risk Register'!$M$7:$M$106,MATCH('Remediation Tracker'!F18,'Risk Register'!$E$7:$E$106,0)),0)*10000+IF(AND(ISNUMBER('Remediation Tracker'!K18),'Remediation Tracker'!K18&lt;TODAY(),'Remediation Tracker'!J18&lt;&gt;"Completed"),1000,0)+107-ROW('Remediation Tracker'!E18))</f>
        <v>0</v>
      </c>
    </row>
    <row r="42" spans="1:31" ht="21" customHeight="1">
      <c r="A42" s="31"/>
      <c r="B42" s="31"/>
      <c r="C42" s="31"/>
      <c r="D42" s="31"/>
      <c r="E42" s="9"/>
      <c r="F42" s="9"/>
      <c r="G42" s="9"/>
      <c r="H42" s="9"/>
      <c r="I42" s="9"/>
      <c r="J42" s="9"/>
      <c r="K42" s="9"/>
      <c r="L42" s="9"/>
      <c r="M42" s="9"/>
      <c r="N42" s="9"/>
      <c r="O42" s="9"/>
      <c r="P42" s="9"/>
      <c r="Q42" s="9"/>
      <c r="R42" s="9"/>
      <c r="S42" s="9"/>
      <c r="T42" s="9"/>
      <c r="U42" s="9"/>
      <c r="V42" s="9"/>
      <c r="W42" s="9"/>
      <c r="X42" s="9"/>
      <c r="Y42" s="9"/>
      <c r="Z42" s="9"/>
      <c r="AA42" s="9"/>
      <c r="AB42" s="9"/>
      <c r="AE42">
        <f ca="1">IF(OR('Remediation Tracker'!E19="",AND('Remediation Tracker'!I19="Approved",'Remediation Tracker'!J19="Completed",ISNUMBER('Remediation Tracker'!L19),'Remediation Tracker'!L19&gt;0,'Remediation Tracker'!L19&lt;=TODAY(),'Remediation Tracker'!N19="Validated",IFERROR(AND('Remediation Tracker'!M19&lt;&gt;"",COUNTIF('Evidence Tracker'!$E$7:$E$106,'Remediation Tracker'!M19)=1,ISNUMBER(INDEX('Evidence Tracker'!$M$7:$M$106,MATCH('Remediation Tracker'!M19,'Evidence Tracker'!$E$7:$E$106,0))),LEN(TRIM(INDEX('Evidence Tracker'!$O$7:$O$106,MATCH('Remediation Tracker'!M19,'Evidence Tracker'!$E$7:$E$106,0))))&gt;0,LEN(TRIM(INDEX('Evidence Tracker'!$P$7:$P$106,MATCH('Remediation Tracker'!M19,'Evidence Tracker'!$E$7:$E$106,0))))&gt;0,COUNTIFS('Evidence Tracker'!$E$7:$E$106,'Remediation Tracker'!M19,'Evidence Tracker'!$F$7:$F$106,'Remediation Tracker'!F19,'Evidence Tracker'!$N$7:$N$106,"Reviewed",'Evidence Tracker'!$Q$7:$Q$106,"Validated",'Evidence Tracker'!$M$7:$M$106,"&gt;0",'Evidence Tracker'!$M$7:$M$106,"&lt;="&amp;TODAY())=1),FALSE))),0,IFERROR(INDEX('Risk Register'!$M$7:$M$106,MATCH('Remediation Tracker'!F19,'Risk Register'!$E$7:$E$106,0)),0)*10000+IF(AND(ISNUMBER('Remediation Tracker'!K19),'Remediation Tracker'!K19&lt;TODAY(),'Remediation Tracker'!J19&lt;&gt;"Completed"),1000,0)+107-ROW('Remediation Tracker'!E19))</f>
        <v>0</v>
      </c>
    </row>
    <row r="43" spans="1:31" ht="21" customHeight="1">
      <c r="A43" s="31"/>
      <c r="B43" s="31"/>
      <c r="C43" s="31"/>
      <c r="D43" s="31"/>
      <c r="E43" s="9"/>
      <c r="F43" s="43" t="s">
        <v>155</v>
      </c>
      <c r="G43" s="43"/>
      <c r="H43" s="43"/>
      <c r="I43" s="43"/>
      <c r="J43" s="43"/>
      <c r="K43" s="43"/>
      <c r="L43" s="43"/>
      <c r="M43" s="43"/>
      <c r="N43" s="43"/>
      <c r="O43" s="43"/>
      <c r="P43" s="43"/>
      <c r="Q43" s="43"/>
      <c r="R43" s="43"/>
      <c r="S43" s="43"/>
      <c r="T43" s="43"/>
      <c r="U43" s="43"/>
      <c r="V43" s="43"/>
      <c r="W43" s="43"/>
      <c r="X43" s="43"/>
      <c r="Y43" s="43"/>
      <c r="Z43" s="43"/>
      <c r="AA43" s="43"/>
      <c r="AB43" s="43"/>
      <c r="AE43">
        <f ca="1">IF(OR('Remediation Tracker'!E20="",AND('Remediation Tracker'!I20="Approved",'Remediation Tracker'!J20="Completed",ISNUMBER('Remediation Tracker'!L20),'Remediation Tracker'!L20&gt;0,'Remediation Tracker'!L20&lt;=TODAY(),'Remediation Tracker'!N20="Validated",IFERROR(AND('Remediation Tracker'!M20&lt;&gt;"",COUNTIF('Evidence Tracker'!$E$7:$E$106,'Remediation Tracker'!M20)=1,ISNUMBER(INDEX('Evidence Tracker'!$M$7:$M$106,MATCH('Remediation Tracker'!M20,'Evidence Tracker'!$E$7:$E$106,0))),LEN(TRIM(INDEX('Evidence Tracker'!$O$7:$O$106,MATCH('Remediation Tracker'!M20,'Evidence Tracker'!$E$7:$E$106,0))))&gt;0,LEN(TRIM(INDEX('Evidence Tracker'!$P$7:$P$106,MATCH('Remediation Tracker'!M20,'Evidence Tracker'!$E$7:$E$106,0))))&gt;0,COUNTIFS('Evidence Tracker'!$E$7:$E$106,'Remediation Tracker'!M20,'Evidence Tracker'!$F$7:$F$106,'Remediation Tracker'!F20,'Evidence Tracker'!$N$7:$N$106,"Reviewed",'Evidence Tracker'!$Q$7:$Q$106,"Validated",'Evidence Tracker'!$M$7:$M$106,"&gt;0",'Evidence Tracker'!$M$7:$M$106,"&lt;="&amp;TODAY())=1),FALSE))),0,IFERROR(INDEX('Risk Register'!$M$7:$M$106,MATCH('Remediation Tracker'!F20,'Risk Register'!$E$7:$E$106,0)),0)*10000+IF(AND(ISNUMBER('Remediation Tracker'!K20),'Remediation Tracker'!K20&lt;TODAY(),'Remediation Tracker'!J20&lt;&gt;"Completed"),1000,0)+107-ROW('Remediation Tracker'!E20))</f>
        <v>0</v>
      </c>
    </row>
    <row r="44" spans="1:31" ht="21" customHeight="1">
      <c r="A44" s="31"/>
      <c r="B44" s="31"/>
      <c r="C44" s="31"/>
      <c r="D44" s="31"/>
      <c r="E44" s="9"/>
      <c r="F44" s="43"/>
      <c r="G44" s="43"/>
      <c r="H44" s="43"/>
      <c r="I44" s="43"/>
      <c r="J44" s="43"/>
      <c r="K44" s="43"/>
      <c r="L44" s="43"/>
      <c r="M44" s="43"/>
      <c r="N44" s="43"/>
      <c r="O44" s="43"/>
      <c r="P44" s="43"/>
      <c r="Q44" s="43"/>
      <c r="R44" s="43"/>
      <c r="S44" s="43"/>
      <c r="T44" s="43"/>
      <c r="U44" s="43"/>
      <c r="V44" s="43"/>
      <c r="W44" s="43"/>
      <c r="X44" s="43"/>
      <c r="Y44" s="43"/>
      <c r="Z44" s="43"/>
      <c r="AA44" s="43"/>
      <c r="AB44" s="43"/>
      <c r="AE44">
        <f ca="1">IF(OR('Remediation Tracker'!E21="",AND('Remediation Tracker'!I21="Approved",'Remediation Tracker'!J21="Completed",ISNUMBER('Remediation Tracker'!L21),'Remediation Tracker'!L21&gt;0,'Remediation Tracker'!L21&lt;=TODAY(),'Remediation Tracker'!N21="Validated",IFERROR(AND('Remediation Tracker'!M21&lt;&gt;"",COUNTIF('Evidence Tracker'!$E$7:$E$106,'Remediation Tracker'!M21)=1,ISNUMBER(INDEX('Evidence Tracker'!$M$7:$M$106,MATCH('Remediation Tracker'!M21,'Evidence Tracker'!$E$7:$E$106,0))),LEN(TRIM(INDEX('Evidence Tracker'!$O$7:$O$106,MATCH('Remediation Tracker'!M21,'Evidence Tracker'!$E$7:$E$106,0))))&gt;0,LEN(TRIM(INDEX('Evidence Tracker'!$P$7:$P$106,MATCH('Remediation Tracker'!M21,'Evidence Tracker'!$E$7:$E$106,0))))&gt;0,COUNTIFS('Evidence Tracker'!$E$7:$E$106,'Remediation Tracker'!M21,'Evidence Tracker'!$F$7:$F$106,'Remediation Tracker'!F21,'Evidence Tracker'!$N$7:$N$106,"Reviewed",'Evidence Tracker'!$Q$7:$Q$106,"Validated",'Evidence Tracker'!$M$7:$M$106,"&gt;0",'Evidence Tracker'!$M$7:$M$106,"&lt;="&amp;TODAY())=1),FALSE))),0,IFERROR(INDEX('Risk Register'!$M$7:$M$106,MATCH('Remediation Tracker'!F21,'Risk Register'!$E$7:$E$106,0)),0)*10000+IF(AND(ISNUMBER('Remediation Tracker'!K21),'Remediation Tracker'!K21&lt;TODAY(),'Remediation Tracker'!J21&lt;&gt;"Completed"),1000,0)+107-ROW('Remediation Tracker'!E21))</f>
        <v>0</v>
      </c>
    </row>
    <row r="45" spans="1:31" ht="24.95" customHeight="1">
      <c r="A45" s="31"/>
      <c r="B45" s="31"/>
      <c r="C45" s="31"/>
      <c r="D45" s="31"/>
      <c r="E45" s="9"/>
      <c r="F45" s="9"/>
      <c r="G45" s="9"/>
      <c r="H45" s="9"/>
      <c r="I45" s="9"/>
      <c r="J45" s="9"/>
      <c r="K45" s="9"/>
      <c r="L45" s="9"/>
      <c r="M45" s="9"/>
      <c r="N45" s="9"/>
      <c r="O45" s="9"/>
      <c r="P45" s="9"/>
      <c r="Q45" s="9"/>
      <c r="R45" s="9"/>
      <c r="S45" s="9"/>
      <c r="T45" s="9"/>
      <c r="U45" s="9"/>
      <c r="V45" s="9"/>
      <c r="W45" s="9"/>
      <c r="X45" s="9"/>
      <c r="Y45" s="9"/>
      <c r="Z45" s="9"/>
      <c r="AA45" s="9"/>
      <c r="AB45" s="9"/>
      <c r="AE45">
        <f ca="1">IF(OR('Remediation Tracker'!E22="",AND('Remediation Tracker'!I22="Approved",'Remediation Tracker'!J22="Completed",ISNUMBER('Remediation Tracker'!L22),'Remediation Tracker'!L22&gt;0,'Remediation Tracker'!L22&lt;=TODAY(),'Remediation Tracker'!N22="Validated",IFERROR(AND('Remediation Tracker'!M22&lt;&gt;"",COUNTIF('Evidence Tracker'!$E$7:$E$106,'Remediation Tracker'!M22)=1,ISNUMBER(INDEX('Evidence Tracker'!$M$7:$M$106,MATCH('Remediation Tracker'!M22,'Evidence Tracker'!$E$7:$E$106,0))),LEN(TRIM(INDEX('Evidence Tracker'!$O$7:$O$106,MATCH('Remediation Tracker'!M22,'Evidence Tracker'!$E$7:$E$106,0))))&gt;0,LEN(TRIM(INDEX('Evidence Tracker'!$P$7:$P$106,MATCH('Remediation Tracker'!M22,'Evidence Tracker'!$E$7:$E$106,0))))&gt;0,COUNTIFS('Evidence Tracker'!$E$7:$E$106,'Remediation Tracker'!M22,'Evidence Tracker'!$F$7:$F$106,'Remediation Tracker'!F22,'Evidence Tracker'!$N$7:$N$106,"Reviewed",'Evidence Tracker'!$Q$7:$Q$106,"Validated",'Evidence Tracker'!$M$7:$M$106,"&gt;0",'Evidence Tracker'!$M$7:$M$106,"&lt;="&amp;TODAY())=1),FALSE))),0,IFERROR(INDEX('Risk Register'!$M$7:$M$106,MATCH('Remediation Tracker'!F22,'Risk Register'!$E$7:$E$106,0)),0)*10000+IF(AND(ISNUMBER('Remediation Tracker'!K22),'Remediation Tracker'!K22&lt;TODAY(),'Remediation Tracker'!J22&lt;&gt;"Completed"),1000,0)+107-ROW('Remediation Tracker'!E22))</f>
        <v>0</v>
      </c>
    </row>
    <row r="46" spans="1:31" ht="24.95" customHeight="1">
      <c r="A46" s="31"/>
      <c r="B46" s="31"/>
      <c r="C46" s="31"/>
      <c r="D46" s="31"/>
      <c r="E46" s="9"/>
      <c r="F46" s="34" t="s">
        <v>156</v>
      </c>
      <c r="G46" s="34" t="s">
        <v>156</v>
      </c>
      <c r="H46" s="34" t="s">
        <v>156</v>
      </c>
      <c r="I46" s="34" t="s">
        <v>156</v>
      </c>
      <c r="J46" s="34" t="s">
        <v>156</v>
      </c>
      <c r="K46" s="34" t="s">
        <v>156</v>
      </c>
      <c r="L46" s="34" t="s">
        <v>156</v>
      </c>
      <c r="M46" s="34" t="s">
        <v>156</v>
      </c>
      <c r="N46" s="34" t="s">
        <v>156</v>
      </c>
      <c r="O46" s="34" t="s">
        <v>156</v>
      </c>
      <c r="P46" s="34" t="s">
        <v>156</v>
      </c>
      <c r="Q46" s="34" t="s">
        <v>156</v>
      </c>
      <c r="R46" s="34" t="s">
        <v>156</v>
      </c>
      <c r="S46" s="34" t="s">
        <v>156</v>
      </c>
      <c r="T46" s="34" t="s">
        <v>156</v>
      </c>
      <c r="U46" s="34" t="s">
        <v>156</v>
      </c>
      <c r="V46" s="34" t="s">
        <v>156</v>
      </c>
      <c r="W46" s="34" t="s">
        <v>156</v>
      </c>
      <c r="X46" s="34" t="s">
        <v>156</v>
      </c>
      <c r="Y46" s="34" t="s">
        <v>156</v>
      </c>
      <c r="Z46" s="34" t="s">
        <v>156</v>
      </c>
      <c r="AA46" s="34" t="s">
        <v>156</v>
      </c>
      <c r="AB46" s="34" t="s">
        <v>156</v>
      </c>
      <c r="AE46">
        <f ca="1">IF(OR('Remediation Tracker'!E23="",AND('Remediation Tracker'!I23="Approved",'Remediation Tracker'!J23="Completed",ISNUMBER('Remediation Tracker'!L23),'Remediation Tracker'!L23&gt;0,'Remediation Tracker'!L23&lt;=TODAY(),'Remediation Tracker'!N23="Validated",IFERROR(AND('Remediation Tracker'!M23&lt;&gt;"",COUNTIF('Evidence Tracker'!$E$7:$E$106,'Remediation Tracker'!M23)=1,ISNUMBER(INDEX('Evidence Tracker'!$M$7:$M$106,MATCH('Remediation Tracker'!M23,'Evidence Tracker'!$E$7:$E$106,0))),LEN(TRIM(INDEX('Evidence Tracker'!$O$7:$O$106,MATCH('Remediation Tracker'!M23,'Evidence Tracker'!$E$7:$E$106,0))))&gt;0,LEN(TRIM(INDEX('Evidence Tracker'!$P$7:$P$106,MATCH('Remediation Tracker'!M23,'Evidence Tracker'!$E$7:$E$106,0))))&gt;0,COUNTIFS('Evidence Tracker'!$E$7:$E$106,'Remediation Tracker'!M23,'Evidence Tracker'!$F$7:$F$106,'Remediation Tracker'!F23,'Evidence Tracker'!$N$7:$N$106,"Reviewed",'Evidence Tracker'!$Q$7:$Q$106,"Validated",'Evidence Tracker'!$M$7:$M$106,"&gt;0",'Evidence Tracker'!$M$7:$M$106,"&lt;="&amp;TODAY())=1),FALSE))),0,IFERROR(INDEX('Risk Register'!$M$7:$M$106,MATCH('Remediation Tracker'!F23,'Risk Register'!$E$7:$E$106,0)),0)*10000+IF(AND(ISNUMBER('Remediation Tracker'!K23),'Remediation Tracker'!K23&lt;TODAY(),'Remediation Tracker'!J23&lt;&gt;"Completed"),1000,0)+107-ROW('Remediation Tracker'!E23))</f>
        <v>0</v>
      </c>
    </row>
    <row r="47" spans="1:31" ht="24.95" customHeight="1">
      <c r="A47" s="31"/>
      <c r="B47" s="31"/>
      <c r="C47" s="31"/>
      <c r="D47" s="31"/>
      <c r="E47" s="9"/>
      <c r="F47" s="25"/>
      <c r="G47" s="25"/>
      <c r="H47" s="25"/>
      <c r="I47" s="25"/>
      <c r="J47" s="25"/>
      <c r="K47" s="25"/>
      <c r="L47" s="25"/>
      <c r="M47" s="25"/>
      <c r="N47" s="25"/>
      <c r="O47" s="25"/>
      <c r="P47" s="25"/>
      <c r="Q47" s="25"/>
      <c r="R47" s="25"/>
      <c r="S47" s="25"/>
      <c r="T47" s="25"/>
      <c r="U47" s="25"/>
      <c r="V47" s="25"/>
      <c r="W47" s="25"/>
      <c r="X47" s="25"/>
      <c r="Y47" s="25"/>
      <c r="Z47" s="25"/>
      <c r="AA47" s="25"/>
      <c r="AB47" s="25"/>
      <c r="AE47">
        <f ca="1">IF(OR('Remediation Tracker'!E24="",AND('Remediation Tracker'!I24="Approved",'Remediation Tracker'!J24="Completed",ISNUMBER('Remediation Tracker'!L24),'Remediation Tracker'!L24&gt;0,'Remediation Tracker'!L24&lt;=TODAY(),'Remediation Tracker'!N24="Validated",IFERROR(AND('Remediation Tracker'!M24&lt;&gt;"",COUNTIF('Evidence Tracker'!$E$7:$E$106,'Remediation Tracker'!M24)=1,ISNUMBER(INDEX('Evidence Tracker'!$M$7:$M$106,MATCH('Remediation Tracker'!M24,'Evidence Tracker'!$E$7:$E$106,0))),LEN(TRIM(INDEX('Evidence Tracker'!$O$7:$O$106,MATCH('Remediation Tracker'!M24,'Evidence Tracker'!$E$7:$E$106,0))))&gt;0,LEN(TRIM(INDEX('Evidence Tracker'!$P$7:$P$106,MATCH('Remediation Tracker'!M24,'Evidence Tracker'!$E$7:$E$106,0))))&gt;0,COUNTIFS('Evidence Tracker'!$E$7:$E$106,'Remediation Tracker'!M24,'Evidence Tracker'!$F$7:$F$106,'Remediation Tracker'!F24,'Evidence Tracker'!$N$7:$N$106,"Reviewed",'Evidence Tracker'!$Q$7:$Q$106,"Validated",'Evidence Tracker'!$M$7:$M$106,"&gt;0",'Evidence Tracker'!$M$7:$M$106,"&lt;="&amp;TODAY())=1),FALSE))),0,IFERROR(INDEX('Risk Register'!$M$7:$M$106,MATCH('Remediation Tracker'!F24,'Risk Register'!$E$7:$E$106,0)),0)*10000+IF(AND(ISNUMBER('Remediation Tracker'!K24),'Remediation Tracker'!K24&lt;TODAY(),'Remediation Tracker'!J24&lt;&gt;"Completed"),1000,0)+107-ROW('Remediation Tracker'!E24))</f>
        <v>0</v>
      </c>
    </row>
    <row r="48" spans="1:31" ht="24.95" customHeight="1">
      <c r="A48" s="31"/>
      <c r="B48" s="31"/>
      <c r="C48" s="31"/>
      <c r="D48" s="31"/>
      <c r="E48" s="9"/>
      <c r="F48" s="41" t="s">
        <v>157</v>
      </c>
      <c r="G48" s="41" t="s">
        <v>157</v>
      </c>
      <c r="H48" s="41" t="s">
        <v>157</v>
      </c>
      <c r="I48" s="41" t="s">
        <v>157</v>
      </c>
      <c r="J48" s="41" t="s">
        <v>157</v>
      </c>
      <c r="K48" s="25"/>
      <c r="L48" s="41" t="s">
        <v>158</v>
      </c>
      <c r="M48" s="41" t="s">
        <v>158</v>
      </c>
      <c r="N48" s="41" t="s">
        <v>158</v>
      </c>
      <c r="O48" s="41" t="s">
        <v>158</v>
      </c>
      <c r="P48" s="41" t="s">
        <v>158</v>
      </c>
      <c r="Q48" s="25"/>
      <c r="R48" s="41" t="s">
        <v>159</v>
      </c>
      <c r="S48" s="41" t="s">
        <v>159</v>
      </c>
      <c r="T48" s="41" t="s">
        <v>159</v>
      </c>
      <c r="U48" s="41" t="s">
        <v>159</v>
      </c>
      <c r="V48" s="41" t="s">
        <v>159</v>
      </c>
      <c r="W48" s="25"/>
      <c r="X48" s="41" t="s">
        <v>160</v>
      </c>
      <c r="Y48" s="41" t="s">
        <v>160</v>
      </c>
      <c r="Z48" s="41" t="s">
        <v>160</v>
      </c>
      <c r="AA48" s="41" t="s">
        <v>160</v>
      </c>
      <c r="AB48" s="41" t="s">
        <v>160</v>
      </c>
      <c r="AE48">
        <f ca="1">IF(OR('Remediation Tracker'!E25="",AND('Remediation Tracker'!I25="Approved",'Remediation Tracker'!J25="Completed",ISNUMBER('Remediation Tracker'!L25),'Remediation Tracker'!L25&gt;0,'Remediation Tracker'!L25&lt;=TODAY(),'Remediation Tracker'!N25="Validated",IFERROR(AND('Remediation Tracker'!M25&lt;&gt;"",COUNTIF('Evidence Tracker'!$E$7:$E$106,'Remediation Tracker'!M25)=1,ISNUMBER(INDEX('Evidence Tracker'!$M$7:$M$106,MATCH('Remediation Tracker'!M25,'Evidence Tracker'!$E$7:$E$106,0))),LEN(TRIM(INDEX('Evidence Tracker'!$O$7:$O$106,MATCH('Remediation Tracker'!M25,'Evidence Tracker'!$E$7:$E$106,0))))&gt;0,LEN(TRIM(INDEX('Evidence Tracker'!$P$7:$P$106,MATCH('Remediation Tracker'!M25,'Evidence Tracker'!$E$7:$E$106,0))))&gt;0,COUNTIFS('Evidence Tracker'!$E$7:$E$106,'Remediation Tracker'!M25,'Evidence Tracker'!$F$7:$F$106,'Remediation Tracker'!F25,'Evidence Tracker'!$N$7:$N$106,"Reviewed",'Evidence Tracker'!$Q$7:$Q$106,"Validated",'Evidence Tracker'!$M$7:$M$106,"&gt;0",'Evidence Tracker'!$M$7:$M$106,"&lt;="&amp;TODAY())=1),FALSE))),0,IFERROR(INDEX('Risk Register'!$M$7:$M$106,MATCH('Remediation Tracker'!F25,'Risk Register'!$E$7:$E$106,0)),0)*10000+IF(AND(ISNUMBER('Remediation Tracker'!K25),'Remediation Tracker'!K25&lt;TODAY(),'Remediation Tracker'!J25&lt;&gt;"Completed"),1000,0)+107-ROW('Remediation Tracker'!E25))</f>
        <v>0</v>
      </c>
    </row>
    <row r="49" spans="1:31" ht="24.95" customHeight="1">
      <c r="A49" s="31"/>
      <c r="B49" s="31"/>
      <c r="C49" s="31"/>
      <c r="D49" s="31"/>
      <c r="E49" s="9"/>
      <c r="F49" s="42">
        <f>COUNTIFS('Control Assessment'!$E$7:$E$106,"&lt;&gt;",'Control Assessment'!$J$7:$J$106,"&lt;&gt;",'Control Assessment'!$J$7:$J$106,"&lt;&gt;Not assessed",'Control Assessment'!$K$7:$K$106,"&lt;&gt;",'Control Assessment'!$K$7:$K$106,"&lt;&gt;Not assessed")</f>
        <v>0</v>
      </c>
      <c r="G49" s="42"/>
      <c r="H49" s="42"/>
      <c r="I49" s="42"/>
      <c r="J49" s="42"/>
      <c r="K49" s="25"/>
      <c r="L49" s="42">
        <f>COUNTIFS('Evidence Tracker'!$E$7:$E$106,"&lt;&gt;",'Evidence Tracker'!$N$7:$N$106,"Reviewed")</f>
        <v>0</v>
      </c>
      <c r="M49" s="42"/>
      <c r="N49" s="42"/>
      <c r="O49" s="42"/>
      <c r="P49" s="42"/>
      <c r="Q49" s="25"/>
      <c r="R49" s="42">
        <f ca="1">COUNTIFS('Remediation Tracker'!$E$7:$E$106,"&lt;&gt;",$AE$30:$AE$129,0)</f>
        <v>0</v>
      </c>
      <c r="S49" s="42"/>
      <c r="T49" s="42"/>
      <c r="U49" s="42"/>
      <c r="V49" s="42"/>
      <c r="W49" s="25"/>
      <c r="X49" s="42">
        <f>COUNTIFS('Remediation Tracker'!$E$7:$E$106,"&lt;&gt;",'Remediation Tracker'!$J$7:$J$106,"&lt;&gt;Completed",'Remediation Tracker'!$K$7:$K$106,"=")</f>
        <v>4</v>
      </c>
      <c r="Y49" s="42"/>
      <c r="Z49" s="42"/>
      <c r="AA49" s="42"/>
      <c r="AB49" s="42"/>
      <c r="AE49">
        <f ca="1">IF(OR('Remediation Tracker'!E26="",AND('Remediation Tracker'!I26="Approved",'Remediation Tracker'!J26="Completed",ISNUMBER('Remediation Tracker'!L26),'Remediation Tracker'!L26&gt;0,'Remediation Tracker'!L26&lt;=TODAY(),'Remediation Tracker'!N26="Validated",IFERROR(AND('Remediation Tracker'!M26&lt;&gt;"",COUNTIF('Evidence Tracker'!$E$7:$E$106,'Remediation Tracker'!M26)=1,ISNUMBER(INDEX('Evidence Tracker'!$M$7:$M$106,MATCH('Remediation Tracker'!M26,'Evidence Tracker'!$E$7:$E$106,0))),LEN(TRIM(INDEX('Evidence Tracker'!$O$7:$O$106,MATCH('Remediation Tracker'!M26,'Evidence Tracker'!$E$7:$E$106,0))))&gt;0,LEN(TRIM(INDEX('Evidence Tracker'!$P$7:$P$106,MATCH('Remediation Tracker'!M26,'Evidence Tracker'!$E$7:$E$106,0))))&gt;0,COUNTIFS('Evidence Tracker'!$E$7:$E$106,'Remediation Tracker'!M26,'Evidence Tracker'!$F$7:$F$106,'Remediation Tracker'!F26,'Evidence Tracker'!$N$7:$N$106,"Reviewed",'Evidence Tracker'!$Q$7:$Q$106,"Validated",'Evidence Tracker'!$M$7:$M$106,"&gt;0",'Evidence Tracker'!$M$7:$M$106,"&lt;="&amp;TODAY())=1),FALSE))),0,IFERROR(INDEX('Risk Register'!$M$7:$M$106,MATCH('Remediation Tracker'!F26,'Risk Register'!$E$7:$E$106,0)),0)*10000+IF(AND(ISNUMBER('Remediation Tracker'!K26),'Remediation Tracker'!K26&lt;TODAY(),'Remediation Tracker'!J26&lt;&gt;"Completed"),1000,0)+107-ROW('Remediation Tracker'!E26))</f>
        <v>0</v>
      </c>
    </row>
    <row r="50" spans="1:31" ht="24.95" customHeight="1">
      <c r="A50" s="31"/>
      <c r="B50" s="31"/>
      <c r="C50" s="31"/>
      <c r="D50" s="31"/>
      <c r="E50" s="9"/>
      <c r="F50" s="42"/>
      <c r="G50" s="42"/>
      <c r="H50" s="42"/>
      <c r="I50" s="42"/>
      <c r="J50" s="42"/>
      <c r="K50" s="25"/>
      <c r="L50" s="42"/>
      <c r="M50" s="42"/>
      <c r="N50" s="42"/>
      <c r="O50" s="42"/>
      <c r="P50" s="42"/>
      <c r="Q50" s="25"/>
      <c r="R50" s="42"/>
      <c r="S50" s="42"/>
      <c r="T50" s="42"/>
      <c r="U50" s="42"/>
      <c r="V50" s="42"/>
      <c r="W50" s="25"/>
      <c r="X50" s="42"/>
      <c r="Y50" s="42"/>
      <c r="Z50" s="42"/>
      <c r="AA50" s="42"/>
      <c r="AB50" s="42"/>
      <c r="AE50">
        <f ca="1">IF(OR('Remediation Tracker'!E27="",AND('Remediation Tracker'!I27="Approved",'Remediation Tracker'!J27="Completed",ISNUMBER('Remediation Tracker'!L27),'Remediation Tracker'!L27&gt;0,'Remediation Tracker'!L27&lt;=TODAY(),'Remediation Tracker'!N27="Validated",IFERROR(AND('Remediation Tracker'!M27&lt;&gt;"",COUNTIF('Evidence Tracker'!$E$7:$E$106,'Remediation Tracker'!M27)=1,ISNUMBER(INDEX('Evidence Tracker'!$M$7:$M$106,MATCH('Remediation Tracker'!M27,'Evidence Tracker'!$E$7:$E$106,0))),LEN(TRIM(INDEX('Evidence Tracker'!$O$7:$O$106,MATCH('Remediation Tracker'!M27,'Evidence Tracker'!$E$7:$E$106,0))))&gt;0,LEN(TRIM(INDEX('Evidence Tracker'!$P$7:$P$106,MATCH('Remediation Tracker'!M27,'Evidence Tracker'!$E$7:$E$106,0))))&gt;0,COUNTIFS('Evidence Tracker'!$E$7:$E$106,'Remediation Tracker'!M27,'Evidence Tracker'!$F$7:$F$106,'Remediation Tracker'!F27,'Evidence Tracker'!$N$7:$N$106,"Reviewed",'Evidence Tracker'!$Q$7:$Q$106,"Validated",'Evidence Tracker'!$M$7:$M$106,"&gt;0",'Evidence Tracker'!$M$7:$M$106,"&lt;="&amp;TODAY())=1),FALSE))),0,IFERROR(INDEX('Risk Register'!$M$7:$M$106,MATCH('Remediation Tracker'!F27,'Risk Register'!$E$7:$E$106,0)),0)*10000+IF(AND(ISNUMBER('Remediation Tracker'!K27),'Remediation Tracker'!K27&lt;TODAY(),'Remediation Tracker'!J27&lt;&gt;"Completed"),1000,0)+107-ROW('Remediation Tracker'!E27))</f>
        <v>0</v>
      </c>
    </row>
    <row r="51" spans="1:31" ht="24.95" customHeight="1">
      <c r="A51" s="31"/>
      <c r="B51" s="31"/>
      <c r="C51" s="31"/>
      <c r="D51" s="31"/>
      <c r="E51" s="9"/>
      <c r="F51" s="25"/>
      <c r="G51" s="25"/>
      <c r="H51" s="25"/>
      <c r="I51" s="25"/>
      <c r="J51" s="25"/>
      <c r="K51" s="25"/>
      <c r="L51" s="25"/>
      <c r="M51" s="25"/>
      <c r="N51" s="25"/>
      <c r="O51" s="25"/>
      <c r="P51" s="25"/>
      <c r="Q51" s="25"/>
      <c r="R51" s="25"/>
      <c r="S51" s="25"/>
      <c r="T51" s="25"/>
      <c r="U51" s="25"/>
      <c r="V51" s="25"/>
      <c r="W51" s="25"/>
      <c r="X51" s="25"/>
      <c r="Y51" s="25"/>
      <c r="Z51" s="25"/>
      <c r="AA51" s="25"/>
      <c r="AB51" s="25"/>
      <c r="AE51">
        <f ca="1">IF(OR('Remediation Tracker'!E28="",AND('Remediation Tracker'!I28="Approved",'Remediation Tracker'!J28="Completed",ISNUMBER('Remediation Tracker'!L28),'Remediation Tracker'!L28&gt;0,'Remediation Tracker'!L28&lt;=TODAY(),'Remediation Tracker'!N28="Validated",IFERROR(AND('Remediation Tracker'!M28&lt;&gt;"",COUNTIF('Evidence Tracker'!$E$7:$E$106,'Remediation Tracker'!M28)=1,ISNUMBER(INDEX('Evidence Tracker'!$M$7:$M$106,MATCH('Remediation Tracker'!M28,'Evidence Tracker'!$E$7:$E$106,0))),LEN(TRIM(INDEX('Evidence Tracker'!$O$7:$O$106,MATCH('Remediation Tracker'!M28,'Evidence Tracker'!$E$7:$E$106,0))))&gt;0,LEN(TRIM(INDEX('Evidence Tracker'!$P$7:$P$106,MATCH('Remediation Tracker'!M28,'Evidence Tracker'!$E$7:$E$106,0))))&gt;0,COUNTIFS('Evidence Tracker'!$E$7:$E$106,'Remediation Tracker'!M28,'Evidence Tracker'!$F$7:$F$106,'Remediation Tracker'!F28,'Evidence Tracker'!$N$7:$N$106,"Reviewed",'Evidence Tracker'!$Q$7:$Q$106,"Validated",'Evidence Tracker'!$M$7:$M$106,"&gt;0",'Evidence Tracker'!$M$7:$M$106,"&lt;="&amp;TODAY())=1),FALSE))),0,IFERROR(INDEX('Risk Register'!$M$7:$M$106,MATCH('Remediation Tracker'!F28,'Risk Register'!$E$7:$E$106,0)),0)*10000+IF(AND(ISNUMBER('Remediation Tracker'!K28),'Remediation Tracker'!K28&lt;TODAY(),'Remediation Tracker'!J28&lt;&gt;"Completed"),1000,0)+107-ROW('Remediation Tracker'!E28))</f>
        <v>0</v>
      </c>
    </row>
    <row r="52" spans="1:31" ht="24.95" customHeight="1">
      <c r="A52" s="31"/>
      <c r="B52" s="31"/>
      <c r="C52" s="31"/>
      <c r="D52" s="31"/>
      <c r="E52" s="9"/>
      <c r="F52" s="34" t="s">
        <v>161</v>
      </c>
      <c r="G52" s="34" t="s">
        <v>161</v>
      </c>
      <c r="H52" s="34" t="s">
        <v>161</v>
      </c>
      <c r="I52" s="34" t="s">
        <v>161</v>
      </c>
      <c r="J52" s="34" t="s">
        <v>161</v>
      </c>
      <c r="K52" s="34" t="s">
        <v>161</v>
      </c>
      <c r="L52" s="34" t="s">
        <v>161</v>
      </c>
      <c r="M52" s="34" t="s">
        <v>161</v>
      </c>
      <c r="N52" s="34" t="s">
        <v>161</v>
      </c>
      <c r="O52" s="34" t="s">
        <v>161</v>
      </c>
      <c r="P52" s="34" t="s">
        <v>161</v>
      </c>
      <c r="Q52" s="34" t="s">
        <v>161</v>
      </c>
      <c r="R52" s="34" t="s">
        <v>161</v>
      </c>
      <c r="S52" s="34" t="s">
        <v>161</v>
      </c>
      <c r="T52" s="34" t="s">
        <v>161</v>
      </c>
      <c r="U52" s="34" t="s">
        <v>161</v>
      </c>
      <c r="V52" s="34" t="s">
        <v>161</v>
      </c>
      <c r="W52" s="34" t="s">
        <v>161</v>
      </c>
      <c r="X52" s="34" t="s">
        <v>161</v>
      </c>
      <c r="Y52" s="34" t="s">
        <v>161</v>
      </c>
      <c r="Z52" s="34" t="s">
        <v>161</v>
      </c>
      <c r="AA52" s="34" t="s">
        <v>161</v>
      </c>
      <c r="AB52" s="34" t="s">
        <v>161</v>
      </c>
      <c r="AE52">
        <f ca="1">IF(OR('Remediation Tracker'!E29="",AND('Remediation Tracker'!I29="Approved",'Remediation Tracker'!J29="Completed",ISNUMBER('Remediation Tracker'!L29),'Remediation Tracker'!L29&gt;0,'Remediation Tracker'!L29&lt;=TODAY(),'Remediation Tracker'!N29="Validated",IFERROR(AND('Remediation Tracker'!M29&lt;&gt;"",COUNTIF('Evidence Tracker'!$E$7:$E$106,'Remediation Tracker'!M29)=1,ISNUMBER(INDEX('Evidence Tracker'!$M$7:$M$106,MATCH('Remediation Tracker'!M29,'Evidence Tracker'!$E$7:$E$106,0))),LEN(TRIM(INDEX('Evidence Tracker'!$O$7:$O$106,MATCH('Remediation Tracker'!M29,'Evidence Tracker'!$E$7:$E$106,0))))&gt;0,LEN(TRIM(INDEX('Evidence Tracker'!$P$7:$P$106,MATCH('Remediation Tracker'!M29,'Evidence Tracker'!$E$7:$E$106,0))))&gt;0,COUNTIFS('Evidence Tracker'!$E$7:$E$106,'Remediation Tracker'!M29,'Evidence Tracker'!$F$7:$F$106,'Remediation Tracker'!F29,'Evidence Tracker'!$N$7:$N$106,"Reviewed",'Evidence Tracker'!$Q$7:$Q$106,"Validated",'Evidence Tracker'!$M$7:$M$106,"&gt;0",'Evidence Tracker'!$M$7:$M$106,"&lt;="&amp;TODAY())=1),FALSE))),0,IFERROR(INDEX('Risk Register'!$M$7:$M$106,MATCH('Remediation Tracker'!F29,'Risk Register'!$E$7:$E$106,0)),0)*10000+IF(AND(ISNUMBER('Remediation Tracker'!K29),'Remediation Tracker'!K29&lt;TODAY(),'Remediation Tracker'!J29&lt;&gt;"Completed"),1000,0)+107-ROW('Remediation Tracker'!E29))</f>
        <v>0</v>
      </c>
    </row>
    <row r="53" spans="1:31" ht="24.95" customHeight="1">
      <c r="A53" s="31"/>
      <c r="B53" s="31"/>
      <c r="C53" s="31"/>
      <c r="D53" s="31"/>
      <c r="E53" s="9"/>
      <c r="F53" s="35" t="str">
        <f>COUNTA('Risk Register'!$E$7:$E$106)&amp;" risks recorded; "&amp;COUNTIFS('Risk Register'!$E$7:$E$106,"&lt;&gt;",'Risk Register'!$Q$7:$Q$106,"Pending validation")&amp;" await validation. "&amp;COUNTIFS('Control Assessment'!$E$7:$E$106,"&lt;&gt;",'Control Assessment'!$J$7:$J$106,"Not assessed")&amp;" controls have no design assessment; "&amp;COUNTIFS('Control Assessment'!$E$7:$E$106,"&lt;&gt;",'Control Assessment'!$K$7:$K$106,"Not assessed")&amp;" have no operating assessment."</f>
        <v>4 risks recorded; 4 await validation. 4 controls have no design assessment; 4 have no operating assessment.</v>
      </c>
      <c r="G53" s="35"/>
      <c r="H53" s="35"/>
      <c r="I53" s="35"/>
      <c r="J53" s="35"/>
      <c r="K53" s="35"/>
      <c r="L53" s="35"/>
      <c r="M53" s="35"/>
      <c r="N53" s="35"/>
      <c r="O53" s="35"/>
      <c r="P53" s="35"/>
      <c r="Q53" s="35"/>
      <c r="R53" s="35"/>
      <c r="S53" s="35"/>
      <c r="T53" s="35"/>
      <c r="U53" s="35"/>
      <c r="V53" s="35"/>
      <c r="W53" s="35"/>
      <c r="X53" s="35"/>
      <c r="Y53" s="35"/>
      <c r="Z53" s="35"/>
      <c r="AA53" s="35"/>
      <c r="AB53" s="35"/>
      <c r="AE53">
        <f ca="1">IF(OR('Remediation Tracker'!E30="",AND('Remediation Tracker'!I30="Approved",'Remediation Tracker'!J30="Completed",ISNUMBER('Remediation Tracker'!L30),'Remediation Tracker'!L30&gt;0,'Remediation Tracker'!L30&lt;=TODAY(),'Remediation Tracker'!N30="Validated",IFERROR(AND('Remediation Tracker'!M30&lt;&gt;"",COUNTIF('Evidence Tracker'!$E$7:$E$106,'Remediation Tracker'!M30)=1,ISNUMBER(INDEX('Evidence Tracker'!$M$7:$M$106,MATCH('Remediation Tracker'!M30,'Evidence Tracker'!$E$7:$E$106,0))),LEN(TRIM(INDEX('Evidence Tracker'!$O$7:$O$106,MATCH('Remediation Tracker'!M30,'Evidence Tracker'!$E$7:$E$106,0))))&gt;0,LEN(TRIM(INDEX('Evidence Tracker'!$P$7:$P$106,MATCH('Remediation Tracker'!M30,'Evidence Tracker'!$E$7:$E$106,0))))&gt;0,COUNTIFS('Evidence Tracker'!$E$7:$E$106,'Remediation Tracker'!M30,'Evidence Tracker'!$F$7:$F$106,'Remediation Tracker'!F30,'Evidence Tracker'!$N$7:$N$106,"Reviewed",'Evidence Tracker'!$Q$7:$Q$106,"Validated",'Evidence Tracker'!$M$7:$M$106,"&gt;0",'Evidence Tracker'!$M$7:$M$106,"&lt;="&amp;TODAY())=1),FALSE))),0,IFERROR(INDEX('Risk Register'!$M$7:$M$106,MATCH('Remediation Tracker'!F30,'Risk Register'!$E$7:$E$106,0)),0)*10000+IF(AND(ISNUMBER('Remediation Tracker'!K30),'Remediation Tracker'!K30&lt;TODAY(),'Remediation Tracker'!J30&lt;&gt;"Completed"),1000,0)+107-ROW('Remediation Tracker'!E30))</f>
        <v>0</v>
      </c>
    </row>
    <row r="54" spans="1:31" ht="24.95" customHeight="1">
      <c r="A54" s="31"/>
      <c r="B54" s="31"/>
      <c r="C54" s="31"/>
      <c r="D54" s="31"/>
      <c r="E54" s="9"/>
      <c r="F54" s="35"/>
      <c r="G54" s="35"/>
      <c r="H54" s="35"/>
      <c r="I54" s="35"/>
      <c r="J54" s="35"/>
      <c r="K54" s="35"/>
      <c r="L54" s="35"/>
      <c r="M54" s="35"/>
      <c r="N54" s="35"/>
      <c r="O54" s="35"/>
      <c r="P54" s="35"/>
      <c r="Q54" s="35"/>
      <c r="R54" s="35"/>
      <c r="S54" s="35"/>
      <c r="T54" s="35"/>
      <c r="U54" s="35"/>
      <c r="V54" s="35"/>
      <c r="W54" s="35"/>
      <c r="X54" s="35"/>
      <c r="Y54" s="35"/>
      <c r="Z54" s="35"/>
      <c r="AA54" s="35"/>
      <c r="AB54" s="35"/>
      <c r="AE54">
        <f ca="1">IF(OR('Remediation Tracker'!E31="",AND('Remediation Tracker'!I31="Approved",'Remediation Tracker'!J31="Completed",ISNUMBER('Remediation Tracker'!L31),'Remediation Tracker'!L31&gt;0,'Remediation Tracker'!L31&lt;=TODAY(),'Remediation Tracker'!N31="Validated",IFERROR(AND('Remediation Tracker'!M31&lt;&gt;"",COUNTIF('Evidence Tracker'!$E$7:$E$106,'Remediation Tracker'!M31)=1,ISNUMBER(INDEX('Evidence Tracker'!$M$7:$M$106,MATCH('Remediation Tracker'!M31,'Evidence Tracker'!$E$7:$E$106,0))),LEN(TRIM(INDEX('Evidence Tracker'!$O$7:$O$106,MATCH('Remediation Tracker'!M31,'Evidence Tracker'!$E$7:$E$106,0))))&gt;0,LEN(TRIM(INDEX('Evidence Tracker'!$P$7:$P$106,MATCH('Remediation Tracker'!M31,'Evidence Tracker'!$E$7:$E$106,0))))&gt;0,COUNTIFS('Evidence Tracker'!$E$7:$E$106,'Remediation Tracker'!M31,'Evidence Tracker'!$F$7:$F$106,'Remediation Tracker'!F31,'Evidence Tracker'!$N$7:$N$106,"Reviewed",'Evidence Tracker'!$Q$7:$Q$106,"Validated",'Evidence Tracker'!$M$7:$M$106,"&gt;0",'Evidence Tracker'!$M$7:$M$106,"&lt;="&amp;TODAY())=1),FALSE))),0,IFERROR(INDEX('Risk Register'!$M$7:$M$106,MATCH('Remediation Tracker'!F31,'Risk Register'!$E$7:$E$106,0)),0)*10000+IF(AND(ISNUMBER('Remediation Tracker'!K31),'Remediation Tracker'!K31&lt;TODAY(),'Remediation Tracker'!J31&lt;&gt;"Completed"),1000,0)+107-ROW('Remediation Tracker'!E31))</f>
        <v>0</v>
      </c>
    </row>
    <row r="55" spans="1:31" ht="24.95" customHeight="1">
      <c r="A55" s="31"/>
      <c r="B55" s="31"/>
      <c r="C55" s="31"/>
      <c r="D55" s="31"/>
      <c r="E55" s="9"/>
      <c r="F55" s="35" t="str">
        <f>COUNTIFS('Evidence Tracker'!$E$7:$E$106,"&lt;&gt;",'Evidence Tracker'!$N$7:$N$106,"Planned request")&amp;" evidence requests remain planned; "&amp;COUNTIFS('Evidence Tracker'!$E$7:$E$106,"&lt;&gt;",'Evidence Tracker'!$N$7:$N$106,"Reviewed")&amp;" are reviewed. "&amp;COUNTIFS('Remediation Tracker'!$E$7:$E$106,"&lt;&gt;",'Remediation Tracker'!$I$7:$I$106,"Pending approval")&amp;" actions await approval; "&amp;X49&amp;" open actions have no target date."</f>
        <v>4 evidence requests remain planned; 0 are reviewed. 4 actions await approval; 4 open actions have no target date.</v>
      </c>
      <c r="G55" s="35"/>
      <c r="H55" s="35"/>
      <c r="I55" s="35"/>
      <c r="J55" s="35"/>
      <c r="K55" s="35"/>
      <c r="L55" s="35"/>
      <c r="M55" s="35"/>
      <c r="N55" s="35"/>
      <c r="O55" s="35"/>
      <c r="P55" s="35"/>
      <c r="Q55" s="35"/>
      <c r="R55" s="35"/>
      <c r="S55" s="35"/>
      <c r="T55" s="35"/>
      <c r="U55" s="35"/>
      <c r="V55" s="35"/>
      <c r="W55" s="35"/>
      <c r="X55" s="35"/>
      <c r="Y55" s="35"/>
      <c r="Z55" s="35"/>
      <c r="AA55" s="35"/>
      <c r="AB55" s="35"/>
      <c r="AE55">
        <f ca="1">IF(OR('Remediation Tracker'!E32="",AND('Remediation Tracker'!I32="Approved",'Remediation Tracker'!J32="Completed",ISNUMBER('Remediation Tracker'!L32),'Remediation Tracker'!L32&gt;0,'Remediation Tracker'!L32&lt;=TODAY(),'Remediation Tracker'!N32="Validated",IFERROR(AND('Remediation Tracker'!M32&lt;&gt;"",COUNTIF('Evidence Tracker'!$E$7:$E$106,'Remediation Tracker'!M32)=1,ISNUMBER(INDEX('Evidence Tracker'!$M$7:$M$106,MATCH('Remediation Tracker'!M32,'Evidence Tracker'!$E$7:$E$106,0))),LEN(TRIM(INDEX('Evidence Tracker'!$O$7:$O$106,MATCH('Remediation Tracker'!M32,'Evidence Tracker'!$E$7:$E$106,0))))&gt;0,LEN(TRIM(INDEX('Evidence Tracker'!$P$7:$P$106,MATCH('Remediation Tracker'!M32,'Evidence Tracker'!$E$7:$E$106,0))))&gt;0,COUNTIFS('Evidence Tracker'!$E$7:$E$106,'Remediation Tracker'!M32,'Evidence Tracker'!$F$7:$F$106,'Remediation Tracker'!F32,'Evidence Tracker'!$N$7:$N$106,"Reviewed",'Evidence Tracker'!$Q$7:$Q$106,"Validated",'Evidence Tracker'!$M$7:$M$106,"&gt;0",'Evidence Tracker'!$M$7:$M$106,"&lt;="&amp;TODAY())=1),FALSE))),0,IFERROR(INDEX('Risk Register'!$M$7:$M$106,MATCH('Remediation Tracker'!F32,'Risk Register'!$E$7:$E$106,0)),0)*10000+IF(AND(ISNUMBER('Remediation Tracker'!K32),'Remediation Tracker'!K32&lt;TODAY(),'Remediation Tracker'!J32&lt;&gt;"Completed"),1000,0)+107-ROW('Remediation Tracker'!E32))</f>
        <v>0</v>
      </c>
    </row>
    <row r="56" spans="1:31" ht="24.95" customHeight="1">
      <c r="A56" s="31"/>
      <c r="B56" s="31"/>
      <c r="C56" s="31"/>
      <c r="D56" s="31"/>
      <c r="E56" s="9"/>
      <c r="F56" s="35"/>
      <c r="G56" s="35"/>
      <c r="H56" s="35"/>
      <c r="I56" s="35"/>
      <c r="J56" s="35"/>
      <c r="K56" s="35"/>
      <c r="L56" s="35"/>
      <c r="M56" s="35"/>
      <c r="N56" s="35"/>
      <c r="O56" s="35"/>
      <c r="P56" s="35"/>
      <c r="Q56" s="35"/>
      <c r="R56" s="35"/>
      <c r="S56" s="35"/>
      <c r="T56" s="35"/>
      <c r="U56" s="35"/>
      <c r="V56" s="35"/>
      <c r="W56" s="35"/>
      <c r="X56" s="35"/>
      <c r="Y56" s="35"/>
      <c r="Z56" s="35"/>
      <c r="AA56" s="35"/>
      <c r="AB56" s="35"/>
      <c r="AE56">
        <f ca="1">IF(OR('Remediation Tracker'!E33="",AND('Remediation Tracker'!I33="Approved",'Remediation Tracker'!J33="Completed",ISNUMBER('Remediation Tracker'!L33),'Remediation Tracker'!L33&gt;0,'Remediation Tracker'!L33&lt;=TODAY(),'Remediation Tracker'!N33="Validated",IFERROR(AND('Remediation Tracker'!M33&lt;&gt;"",COUNTIF('Evidence Tracker'!$E$7:$E$106,'Remediation Tracker'!M33)=1,ISNUMBER(INDEX('Evidence Tracker'!$M$7:$M$106,MATCH('Remediation Tracker'!M33,'Evidence Tracker'!$E$7:$E$106,0))),LEN(TRIM(INDEX('Evidence Tracker'!$O$7:$O$106,MATCH('Remediation Tracker'!M33,'Evidence Tracker'!$E$7:$E$106,0))))&gt;0,LEN(TRIM(INDEX('Evidence Tracker'!$P$7:$P$106,MATCH('Remediation Tracker'!M33,'Evidence Tracker'!$E$7:$E$106,0))))&gt;0,COUNTIFS('Evidence Tracker'!$E$7:$E$106,'Remediation Tracker'!M33,'Evidence Tracker'!$F$7:$F$106,'Remediation Tracker'!F33,'Evidence Tracker'!$N$7:$N$106,"Reviewed",'Evidence Tracker'!$Q$7:$Q$106,"Validated",'Evidence Tracker'!$M$7:$M$106,"&gt;0",'Evidence Tracker'!$M$7:$M$106,"&lt;="&amp;TODAY())=1),FALSE))),0,IFERROR(INDEX('Risk Register'!$M$7:$M$106,MATCH('Remediation Tracker'!F33,'Risk Register'!$E$7:$E$106,0)),0)*10000+IF(AND(ISNUMBER('Remediation Tracker'!K33),'Remediation Tracker'!K33&lt;TODAY(),'Remediation Tracker'!J33&lt;&gt;"Completed"),1000,0)+107-ROW('Remediation Tracker'!E33))</f>
        <v>0</v>
      </c>
    </row>
    <row r="57" spans="1:31" ht="24.95" customHeight="1">
      <c r="A57" s="31"/>
      <c r="B57" s="31"/>
      <c r="C57" s="31"/>
      <c r="D57" s="31"/>
      <c r="E57" s="9"/>
      <c r="F57" s="37" t="str">
        <f>IF(AND(COUNTA('Risk Register'!$E$7:$E$106)&gt;0,COUNTIFS('Risk Register'!$E$7:$E$106,"&lt;&gt;",'Risk Register'!$Q$7:$Q$106,"Validated")=COUNTA('Risk Register'!$E$7:$E$106)),"Risk records are marked validated. Confirm assessments and reviewer approvals before sign-off.","SIGN-OFF PENDING / Evidence, assessment and approval prerequisites remain open. Verified closure requires approval, a valid completion date and reviewed, validated evidence linked to the same risk.")</f>
        <v>SIGN-OFF PENDING / Evidence, assessment and approval prerequisites remain open. Verified closure requires approval, a valid completion date and reviewed, validated evidence linked to the same risk.</v>
      </c>
      <c r="G57" s="37"/>
      <c r="H57" s="37"/>
      <c r="I57" s="37"/>
      <c r="J57" s="37"/>
      <c r="K57" s="37"/>
      <c r="L57" s="37"/>
      <c r="M57" s="37"/>
      <c r="N57" s="37"/>
      <c r="O57" s="37"/>
      <c r="P57" s="37"/>
      <c r="Q57" s="37"/>
      <c r="R57" s="37"/>
      <c r="S57" s="37"/>
      <c r="T57" s="37"/>
      <c r="U57" s="37"/>
      <c r="V57" s="37"/>
      <c r="W57" s="37"/>
      <c r="X57" s="37"/>
      <c r="Y57" s="37"/>
      <c r="Z57" s="37"/>
      <c r="AA57" s="37"/>
      <c r="AB57" s="37"/>
      <c r="AE57">
        <f ca="1">IF(OR('Remediation Tracker'!E34="",AND('Remediation Tracker'!I34="Approved",'Remediation Tracker'!J34="Completed",ISNUMBER('Remediation Tracker'!L34),'Remediation Tracker'!L34&gt;0,'Remediation Tracker'!L34&lt;=TODAY(),'Remediation Tracker'!N34="Validated",IFERROR(AND('Remediation Tracker'!M34&lt;&gt;"",COUNTIF('Evidence Tracker'!$E$7:$E$106,'Remediation Tracker'!M34)=1,ISNUMBER(INDEX('Evidence Tracker'!$M$7:$M$106,MATCH('Remediation Tracker'!M34,'Evidence Tracker'!$E$7:$E$106,0))),LEN(TRIM(INDEX('Evidence Tracker'!$O$7:$O$106,MATCH('Remediation Tracker'!M34,'Evidence Tracker'!$E$7:$E$106,0))))&gt;0,LEN(TRIM(INDEX('Evidence Tracker'!$P$7:$P$106,MATCH('Remediation Tracker'!M34,'Evidence Tracker'!$E$7:$E$106,0))))&gt;0,COUNTIFS('Evidence Tracker'!$E$7:$E$106,'Remediation Tracker'!M34,'Evidence Tracker'!$F$7:$F$106,'Remediation Tracker'!F34,'Evidence Tracker'!$N$7:$N$106,"Reviewed",'Evidence Tracker'!$Q$7:$Q$106,"Validated",'Evidence Tracker'!$M$7:$M$106,"&gt;0",'Evidence Tracker'!$M$7:$M$106,"&lt;="&amp;TODAY())=1),FALSE))),0,IFERROR(INDEX('Risk Register'!$M$7:$M$106,MATCH('Remediation Tracker'!F34,'Risk Register'!$E$7:$E$106,0)),0)*10000+IF(AND(ISNUMBER('Remediation Tracker'!K34),'Remediation Tracker'!K34&lt;TODAY(),'Remediation Tracker'!J34&lt;&gt;"Completed"),1000,0)+107-ROW('Remediation Tracker'!E34))</f>
        <v>0</v>
      </c>
    </row>
    <row r="58" spans="1:31" ht="24.95" customHeight="1">
      <c r="A58" s="31"/>
      <c r="B58" s="31"/>
      <c r="C58" s="31"/>
      <c r="D58" s="31"/>
      <c r="E58" s="9"/>
      <c r="F58" s="37"/>
      <c r="G58" s="37"/>
      <c r="H58" s="37"/>
      <c r="I58" s="37"/>
      <c r="J58" s="37"/>
      <c r="K58" s="37"/>
      <c r="L58" s="37"/>
      <c r="M58" s="37"/>
      <c r="N58" s="37"/>
      <c r="O58" s="37"/>
      <c r="P58" s="37"/>
      <c r="Q58" s="37"/>
      <c r="R58" s="37"/>
      <c r="S58" s="37"/>
      <c r="T58" s="37"/>
      <c r="U58" s="37"/>
      <c r="V58" s="37"/>
      <c r="W58" s="37"/>
      <c r="X58" s="37"/>
      <c r="Y58" s="37"/>
      <c r="Z58" s="37"/>
      <c r="AA58" s="37"/>
      <c r="AB58" s="37"/>
      <c r="AE58">
        <f ca="1">IF(OR('Remediation Tracker'!E35="",AND('Remediation Tracker'!I35="Approved",'Remediation Tracker'!J35="Completed",ISNUMBER('Remediation Tracker'!L35),'Remediation Tracker'!L35&gt;0,'Remediation Tracker'!L35&lt;=TODAY(),'Remediation Tracker'!N35="Validated",IFERROR(AND('Remediation Tracker'!M35&lt;&gt;"",COUNTIF('Evidence Tracker'!$E$7:$E$106,'Remediation Tracker'!M35)=1,ISNUMBER(INDEX('Evidence Tracker'!$M$7:$M$106,MATCH('Remediation Tracker'!M35,'Evidence Tracker'!$E$7:$E$106,0))),LEN(TRIM(INDEX('Evidence Tracker'!$O$7:$O$106,MATCH('Remediation Tracker'!M35,'Evidence Tracker'!$E$7:$E$106,0))))&gt;0,LEN(TRIM(INDEX('Evidence Tracker'!$P$7:$P$106,MATCH('Remediation Tracker'!M35,'Evidence Tracker'!$E$7:$E$106,0))))&gt;0,COUNTIFS('Evidence Tracker'!$E$7:$E$106,'Remediation Tracker'!M35,'Evidence Tracker'!$F$7:$F$106,'Remediation Tracker'!F35,'Evidence Tracker'!$N$7:$N$106,"Reviewed",'Evidence Tracker'!$Q$7:$Q$106,"Validated",'Evidence Tracker'!$M$7:$M$106,"&gt;0",'Evidence Tracker'!$M$7:$M$106,"&lt;="&amp;TODAY())=1),FALSE))),0,IFERROR(INDEX('Risk Register'!$M$7:$M$106,MATCH('Remediation Tracker'!F35,'Risk Register'!$E$7:$E$106,0)),0)*10000+IF(AND(ISNUMBER('Remediation Tracker'!K35),'Remediation Tracker'!K35&lt;TODAY(),'Remediation Tracker'!J35&lt;&gt;"Completed"),1000,0)+107-ROW('Remediation Tracker'!E35))</f>
        <v>0</v>
      </c>
    </row>
    <row r="59" spans="1:31" ht="24.95" customHeight="1">
      <c r="A59" s="31"/>
      <c r="B59" s="31"/>
      <c r="C59" s="31"/>
      <c r="D59" s="31"/>
      <c r="E59" s="9"/>
      <c r="F59" s="38" t="str">
        <f>"TRACEABILITY ALERT / "&amp;COUNTIFS('Risk Register'!$E$7:$E$106,"&lt;&gt;",'Risk Register'!$S$7:$S$106,"=")&amp;" risk records lack evidence IDs. Approval must precede scheduling and implementation."</f>
        <v>TRACEABILITY ALERT / 0 risk records lack evidence IDs. Approval must precede scheduling and implementation.</v>
      </c>
      <c r="G59" s="38"/>
      <c r="H59" s="38"/>
      <c r="I59" s="38"/>
      <c r="J59" s="38"/>
      <c r="K59" s="38"/>
      <c r="L59" s="38"/>
      <c r="M59" s="38"/>
      <c r="N59" s="38"/>
      <c r="O59" s="38"/>
      <c r="P59" s="38"/>
      <c r="Q59" s="38"/>
      <c r="R59" s="38"/>
      <c r="S59" s="38"/>
      <c r="T59" s="38"/>
      <c r="U59" s="38"/>
      <c r="V59" s="38"/>
      <c r="W59" s="38"/>
      <c r="X59" s="38"/>
      <c r="Y59" s="38"/>
      <c r="Z59" s="38"/>
      <c r="AA59" s="38"/>
      <c r="AB59" s="38"/>
      <c r="AE59">
        <f ca="1">IF(OR('Remediation Tracker'!E36="",AND('Remediation Tracker'!I36="Approved",'Remediation Tracker'!J36="Completed",ISNUMBER('Remediation Tracker'!L36),'Remediation Tracker'!L36&gt;0,'Remediation Tracker'!L36&lt;=TODAY(),'Remediation Tracker'!N36="Validated",IFERROR(AND('Remediation Tracker'!M36&lt;&gt;"",COUNTIF('Evidence Tracker'!$E$7:$E$106,'Remediation Tracker'!M36)=1,ISNUMBER(INDEX('Evidence Tracker'!$M$7:$M$106,MATCH('Remediation Tracker'!M36,'Evidence Tracker'!$E$7:$E$106,0))),LEN(TRIM(INDEX('Evidence Tracker'!$O$7:$O$106,MATCH('Remediation Tracker'!M36,'Evidence Tracker'!$E$7:$E$106,0))))&gt;0,LEN(TRIM(INDEX('Evidence Tracker'!$P$7:$P$106,MATCH('Remediation Tracker'!M36,'Evidence Tracker'!$E$7:$E$106,0))))&gt;0,COUNTIFS('Evidence Tracker'!$E$7:$E$106,'Remediation Tracker'!M36,'Evidence Tracker'!$F$7:$F$106,'Remediation Tracker'!F36,'Evidence Tracker'!$N$7:$N$106,"Reviewed",'Evidence Tracker'!$Q$7:$Q$106,"Validated",'Evidence Tracker'!$M$7:$M$106,"&gt;0",'Evidence Tracker'!$M$7:$M$106,"&lt;="&amp;TODAY())=1),FALSE))),0,IFERROR(INDEX('Risk Register'!$M$7:$M$106,MATCH('Remediation Tracker'!F36,'Risk Register'!$E$7:$E$106,0)),0)*10000+IF(AND(ISNUMBER('Remediation Tracker'!K36),'Remediation Tracker'!K36&lt;TODAY(),'Remediation Tracker'!J36&lt;&gt;"Completed"),1000,0)+107-ROW('Remediation Tracker'!E36))</f>
        <v>0</v>
      </c>
    </row>
    <row r="60" spans="1:31" ht="24.95" customHeight="1">
      <c r="A60" s="31"/>
      <c r="B60" s="31"/>
      <c r="C60" s="31"/>
      <c r="D60" s="31"/>
      <c r="E60" s="9"/>
      <c r="F60" s="34" t="s">
        <v>162</v>
      </c>
      <c r="G60" s="34" t="s">
        <v>162</v>
      </c>
      <c r="H60" s="34" t="s">
        <v>162</v>
      </c>
      <c r="I60" s="34" t="s">
        <v>162</v>
      </c>
      <c r="J60" s="34" t="s">
        <v>162</v>
      </c>
      <c r="K60" s="34" t="s">
        <v>162</v>
      </c>
      <c r="L60" s="34" t="s">
        <v>162</v>
      </c>
      <c r="M60" s="34" t="s">
        <v>162</v>
      </c>
      <c r="N60" s="34" t="s">
        <v>162</v>
      </c>
      <c r="O60" s="34" t="s">
        <v>162</v>
      </c>
      <c r="P60" s="34" t="s">
        <v>162</v>
      </c>
      <c r="Q60" s="34" t="s">
        <v>162</v>
      </c>
      <c r="R60" s="34" t="s">
        <v>162</v>
      </c>
      <c r="S60" s="34" t="s">
        <v>162</v>
      </c>
      <c r="T60" s="34" t="s">
        <v>162</v>
      </c>
      <c r="U60" s="34" t="s">
        <v>162</v>
      </c>
      <c r="V60" s="34" t="s">
        <v>162</v>
      </c>
      <c r="W60" s="34" t="s">
        <v>162</v>
      </c>
      <c r="X60" s="34" t="s">
        <v>162</v>
      </c>
      <c r="Y60" s="34" t="s">
        <v>162</v>
      </c>
      <c r="Z60" s="34" t="s">
        <v>162</v>
      </c>
      <c r="AA60" s="34" t="s">
        <v>162</v>
      </c>
      <c r="AB60" s="34" t="s">
        <v>162</v>
      </c>
      <c r="AE60">
        <f ca="1">IF(OR('Remediation Tracker'!E37="",AND('Remediation Tracker'!I37="Approved",'Remediation Tracker'!J37="Completed",ISNUMBER('Remediation Tracker'!L37),'Remediation Tracker'!L37&gt;0,'Remediation Tracker'!L37&lt;=TODAY(),'Remediation Tracker'!N37="Validated",IFERROR(AND('Remediation Tracker'!M37&lt;&gt;"",COUNTIF('Evidence Tracker'!$E$7:$E$106,'Remediation Tracker'!M37)=1,ISNUMBER(INDEX('Evidence Tracker'!$M$7:$M$106,MATCH('Remediation Tracker'!M37,'Evidence Tracker'!$E$7:$E$106,0))),LEN(TRIM(INDEX('Evidence Tracker'!$O$7:$O$106,MATCH('Remediation Tracker'!M37,'Evidence Tracker'!$E$7:$E$106,0))))&gt;0,LEN(TRIM(INDEX('Evidence Tracker'!$P$7:$P$106,MATCH('Remediation Tracker'!M37,'Evidence Tracker'!$E$7:$E$106,0))))&gt;0,COUNTIFS('Evidence Tracker'!$E$7:$E$106,'Remediation Tracker'!M37,'Evidence Tracker'!$F$7:$F$106,'Remediation Tracker'!F37,'Evidence Tracker'!$N$7:$N$106,"Reviewed",'Evidence Tracker'!$Q$7:$Q$106,"Validated",'Evidence Tracker'!$M$7:$M$106,"&gt;0",'Evidence Tracker'!$M$7:$M$106,"&lt;="&amp;TODAY())=1),FALSE))),0,IFERROR(INDEX('Risk Register'!$M$7:$M$106,MATCH('Remediation Tracker'!F37,'Risk Register'!$E$7:$E$106,0)),0)*10000+IF(AND(ISNUMBER('Remediation Tracker'!K37),'Remediation Tracker'!K37&lt;TODAY(),'Remediation Tracker'!J37&lt;&gt;"Completed"),1000,0)+107-ROW('Remediation Tracker'!E37))</f>
        <v>0</v>
      </c>
    </row>
    <row r="61" spans="1:31" ht="24.95" customHeight="1">
      <c r="A61" s="31"/>
      <c r="B61" s="31"/>
      <c r="C61" s="31"/>
      <c r="D61" s="31"/>
      <c r="E61" s="9"/>
      <c r="F61" s="32" t="s">
        <v>28</v>
      </c>
      <c r="G61" s="32" t="s">
        <v>28</v>
      </c>
      <c r="H61" s="32" t="s">
        <v>29</v>
      </c>
      <c r="I61" s="32" t="s">
        <v>29</v>
      </c>
      <c r="J61" s="32" t="s">
        <v>29</v>
      </c>
      <c r="K61" s="32" t="s">
        <v>29</v>
      </c>
      <c r="L61" s="32" t="s">
        <v>29</v>
      </c>
      <c r="M61" s="32" t="s">
        <v>163</v>
      </c>
      <c r="N61" s="32" t="s">
        <v>163</v>
      </c>
      <c r="O61" s="32" t="s">
        <v>164</v>
      </c>
      <c r="P61" s="32" t="s">
        <v>164</v>
      </c>
      <c r="Q61" s="32" t="s">
        <v>164</v>
      </c>
      <c r="R61" s="32" t="s">
        <v>164</v>
      </c>
      <c r="S61" s="32" t="s">
        <v>165</v>
      </c>
      <c r="T61" s="32" t="s">
        <v>165</v>
      </c>
      <c r="U61" s="32" t="s">
        <v>165</v>
      </c>
      <c r="V61" s="32" t="s">
        <v>166</v>
      </c>
      <c r="W61" s="32" t="s">
        <v>166</v>
      </c>
      <c r="X61" s="32" t="s">
        <v>166</v>
      </c>
      <c r="Y61" s="32" t="s">
        <v>167</v>
      </c>
      <c r="Z61" s="32" t="s">
        <v>167</v>
      </c>
      <c r="AA61" s="32" t="s">
        <v>167</v>
      </c>
      <c r="AB61" s="32" t="s">
        <v>167</v>
      </c>
      <c r="AE61">
        <f ca="1">IF(OR('Remediation Tracker'!E38="",AND('Remediation Tracker'!I38="Approved",'Remediation Tracker'!J38="Completed",ISNUMBER('Remediation Tracker'!L38),'Remediation Tracker'!L38&gt;0,'Remediation Tracker'!L38&lt;=TODAY(),'Remediation Tracker'!N38="Validated",IFERROR(AND('Remediation Tracker'!M38&lt;&gt;"",COUNTIF('Evidence Tracker'!$E$7:$E$106,'Remediation Tracker'!M38)=1,ISNUMBER(INDEX('Evidence Tracker'!$M$7:$M$106,MATCH('Remediation Tracker'!M38,'Evidence Tracker'!$E$7:$E$106,0))),LEN(TRIM(INDEX('Evidence Tracker'!$O$7:$O$106,MATCH('Remediation Tracker'!M38,'Evidence Tracker'!$E$7:$E$106,0))))&gt;0,LEN(TRIM(INDEX('Evidence Tracker'!$P$7:$P$106,MATCH('Remediation Tracker'!M38,'Evidence Tracker'!$E$7:$E$106,0))))&gt;0,COUNTIFS('Evidence Tracker'!$E$7:$E$106,'Remediation Tracker'!M38,'Evidence Tracker'!$F$7:$F$106,'Remediation Tracker'!F38,'Evidence Tracker'!$N$7:$N$106,"Reviewed",'Evidence Tracker'!$Q$7:$Q$106,"Validated",'Evidence Tracker'!$M$7:$M$106,"&gt;0",'Evidence Tracker'!$M$7:$M$106,"&lt;="&amp;TODAY())=1),FALSE))),0,IFERROR(INDEX('Risk Register'!$M$7:$M$106,MATCH('Remediation Tracker'!F38,'Risk Register'!$E$7:$E$106,0)),0)*10000+IF(AND(ISNUMBER('Remediation Tracker'!K38),'Remediation Tracker'!K38&lt;TODAY(),'Remediation Tracker'!J38&lt;&gt;"Completed"),1000,0)+107-ROW('Remediation Tracker'!E38))</f>
        <v>0</v>
      </c>
    </row>
    <row r="62" spans="1:31" ht="24.95" customHeight="1">
      <c r="A62" s="31"/>
      <c r="B62" s="31"/>
      <c r="C62" s="31"/>
      <c r="D62" s="31"/>
      <c r="E62" s="9"/>
      <c r="F62" s="29" t="str">
        <f>IF('Risk Register'!E7="","",'Risk Register'!E7)</f>
        <v>R-001</v>
      </c>
      <c r="G62" s="29"/>
      <c r="H62" s="29" t="str">
        <f>IF($F62="","",'Risk Register'!F7)</f>
        <v>Missing MFA</v>
      </c>
      <c r="I62" s="29"/>
      <c r="J62" s="29"/>
      <c r="K62" s="29"/>
      <c r="L62" s="29"/>
      <c r="M62" s="29" t="str">
        <f>IF($F62="","",'Risk Register'!M7&amp;" / "&amp;'Risk Register'!N7)</f>
        <v>12 / High</v>
      </c>
      <c r="N62" s="29"/>
      <c r="O62" s="29" t="str">
        <f>IF($F62="","",'Risk Register'!Q7)</f>
        <v>Pending validation</v>
      </c>
      <c r="P62" s="29"/>
      <c r="Q62" s="29"/>
      <c r="R62" s="29"/>
      <c r="S62" s="29" t="str">
        <f>IF($F62="","",COUNTIFS('Control Assessment'!$F$7:$F$106,$F62,'Control Assessment'!$J$7:$J$106,"&lt;&gt;",'Control Assessment'!$J$7:$J$106,"&lt;&gt;Not assessed",'Control Assessment'!$K$7:$K$106,"&lt;&gt;",'Control Assessment'!$K$7:$K$106,"&lt;&gt;Not assessed")&amp;" / "&amp;COUNTIFS('Control Assessment'!$F$7:$F$106,$F62,'Control Assessment'!$E$7:$E$106,"&lt;&gt;"))</f>
        <v>0 / 1</v>
      </c>
      <c r="T62" s="29"/>
      <c r="U62" s="29"/>
      <c r="V62" s="29" t="str">
        <f>IF($F62="","",COUNTIFS('Evidence Tracker'!$F$7:$F$106,$F62,'Evidence Tracker'!$N$7:$N$106,"Reviewed")&amp;" / "&amp;COUNTIFS('Evidence Tracker'!$F$7:$F$106,$F62,'Evidence Tracker'!$E$7:$E$106,"&lt;&gt;"))</f>
        <v>0 / 1</v>
      </c>
      <c r="W62" s="29"/>
      <c r="X62" s="29"/>
      <c r="Y62" s="29" t="str">
        <f ca="1">IF($F62="","",COUNTIFS('Remediation Tracker'!$F$7:$F$106,$F62,'Remediation Tracker'!$E$7:$E$106,"&lt;&gt;",$AE$30:$AE$129,0)&amp;" / "&amp;COUNTIFS('Remediation Tracker'!$F$7:$F$106,$F62,'Remediation Tracker'!$E$7:$E$106,"&lt;&gt;"))</f>
        <v>0 / 1</v>
      </c>
      <c r="Z62" s="29"/>
      <c r="AA62" s="29"/>
      <c r="AB62" s="29"/>
      <c r="AE62">
        <f ca="1">IF(OR('Remediation Tracker'!E39="",AND('Remediation Tracker'!I39="Approved",'Remediation Tracker'!J39="Completed",ISNUMBER('Remediation Tracker'!L39),'Remediation Tracker'!L39&gt;0,'Remediation Tracker'!L39&lt;=TODAY(),'Remediation Tracker'!N39="Validated",IFERROR(AND('Remediation Tracker'!M39&lt;&gt;"",COUNTIF('Evidence Tracker'!$E$7:$E$106,'Remediation Tracker'!M39)=1,ISNUMBER(INDEX('Evidence Tracker'!$M$7:$M$106,MATCH('Remediation Tracker'!M39,'Evidence Tracker'!$E$7:$E$106,0))),LEN(TRIM(INDEX('Evidence Tracker'!$O$7:$O$106,MATCH('Remediation Tracker'!M39,'Evidence Tracker'!$E$7:$E$106,0))))&gt;0,LEN(TRIM(INDEX('Evidence Tracker'!$P$7:$P$106,MATCH('Remediation Tracker'!M39,'Evidence Tracker'!$E$7:$E$106,0))))&gt;0,COUNTIFS('Evidence Tracker'!$E$7:$E$106,'Remediation Tracker'!M39,'Evidence Tracker'!$F$7:$F$106,'Remediation Tracker'!F39,'Evidence Tracker'!$N$7:$N$106,"Reviewed",'Evidence Tracker'!$Q$7:$Q$106,"Validated",'Evidence Tracker'!$M$7:$M$106,"&gt;0",'Evidence Tracker'!$M$7:$M$106,"&lt;="&amp;TODAY())=1),FALSE))),0,IFERROR(INDEX('Risk Register'!$M$7:$M$106,MATCH('Remediation Tracker'!F39,'Risk Register'!$E$7:$E$106,0)),0)*10000+IF(AND(ISNUMBER('Remediation Tracker'!K39),'Remediation Tracker'!K39&lt;TODAY(),'Remediation Tracker'!J39&lt;&gt;"Completed"),1000,0)+107-ROW('Remediation Tracker'!E39))</f>
        <v>0</v>
      </c>
    </row>
    <row r="63" spans="1:31" ht="24.95" customHeight="1">
      <c r="A63" s="31"/>
      <c r="B63" s="31"/>
      <c r="C63" s="31"/>
      <c r="D63" s="31"/>
      <c r="E63" s="9"/>
      <c r="F63" s="32" t="str">
        <f>IF('Risk Register'!E8="","",'Risk Register'!E8)</f>
        <v>R-002</v>
      </c>
      <c r="G63" s="32"/>
      <c r="H63" s="32" t="str">
        <f>IF($F63="","",'Risk Register'!F8)</f>
        <v>Excessive Access Permissions</v>
      </c>
      <c r="I63" s="32"/>
      <c r="J63" s="32"/>
      <c r="K63" s="32"/>
      <c r="L63" s="32"/>
      <c r="M63" s="32" t="str">
        <f>IF($F63="","",'Risk Register'!M8&amp;" / "&amp;'Risk Register'!N8)</f>
        <v>12 / High</v>
      </c>
      <c r="N63" s="32"/>
      <c r="O63" s="32" t="str">
        <f>IF($F63="","",'Risk Register'!Q8)</f>
        <v>Pending validation</v>
      </c>
      <c r="P63" s="32"/>
      <c r="Q63" s="32"/>
      <c r="R63" s="32"/>
      <c r="S63" s="32" t="str">
        <f>IF($F63="","",COUNTIFS('Control Assessment'!$F$7:$F$106,$F63,'Control Assessment'!$J$7:$J$106,"&lt;&gt;",'Control Assessment'!$J$7:$J$106,"&lt;&gt;Not assessed",'Control Assessment'!$K$7:$K$106,"&lt;&gt;",'Control Assessment'!$K$7:$K$106,"&lt;&gt;Not assessed")&amp;" / "&amp;COUNTIFS('Control Assessment'!$F$7:$F$106,$F63,'Control Assessment'!$E$7:$E$106,"&lt;&gt;"))</f>
        <v>0 / 1</v>
      </c>
      <c r="T63" s="32"/>
      <c r="U63" s="32"/>
      <c r="V63" s="32" t="str">
        <f>IF($F63="","",COUNTIFS('Evidence Tracker'!$F$7:$F$106,$F63,'Evidence Tracker'!$N$7:$N$106,"Reviewed")&amp;" / "&amp;COUNTIFS('Evidence Tracker'!$F$7:$F$106,$F63,'Evidence Tracker'!$E$7:$E$106,"&lt;&gt;"))</f>
        <v>0 / 1</v>
      </c>
      <c r="W63" s="32"/>
      <c r="X63" s="32"/>
      <c r="Y63" s="32" t="str">
        <f ca="1">IF($F63="","",COUNTIFS('Remediation Tracker'!$F$7:$F$106,$F63,'Remediation Tracker'!$E$7:$E$106,"&lt;&gt;",$AE$30:$AE$129,0)&amp;" / "&amp;COUNTIFS('Remediation Tracker'!$F$7:$F$106,$F63,'Remediation Tracker'!$E$7:$E$106,"&lt;&gt;"))</f>
        <v>0 / 1</v>
      </c>
      <c r="Z63" s="32"/>
      <c r="AA63" s="32"/>
      <c r="AB63" s="32"/>
      <c r="AE63">
        <f ca="1">IF(OR('Remediation Tracker'!E40="",AND('Remediation Tracker'!I40="Approved",'Remediation Tracker'!J40="Completed",ISNUMBER('Remediation Tracker'!L40),'Remediation Tracker'!L40&gt;0,'Remediation Tracker'!L40&lt;=TODAY(),'Remediation Tracker'!N40="Validated",IFERROR(AND('Remediation Tracker'!M40&lt;&gt;"",COUNTIF('Evidence Tracker'!$E$7:$E$106,'Remediation Tracker'!M40)=1,ISNUMBER(INDEX('Evidence Tracker'!$M$7:$M$106,MATCH('Remediation Tracker'!M40,'Evidence Tracker'!$E$7:$E$106,0))),LEN(TRIM(INDEX('Evidence Tracker'!$O$7:$O$106,MATCH('Remediation Tracker'!M40,'Evidence Tracker'!$E$7:$E$106,0))))&gt;0,LEN(TRIM(INDEX('Evidence Tracker'!$P$7:$P$106,MATCH('Remediation Tracker'!M40,'Evidence Tracker'!$E$7:$E$106,0))))&gt;0,COUNTIFS('Evidence Tracker'!$E$7:$E$106,'Remediation Tracker'!M40,'Evidence Tracker'!$F$7:$F$106,'Remediation Tracker'!F40,'Evidence Tracker'!$N$7:$N$106,"Reviewed",'Evidence Tracker'!$Q$7:$Q$106,"Validated",'Evidence Tracker'!$M$7:$M$106,"&gt;0",'Evidence Tracker'!$M$7:$M$106,"&lt;="&amp;TODAY())=1),FALSE))),0,IFERROR(INDEX('Risk Register'!$M$7:$M$106,MATCH('Remediation Tracker'!F40,'Risk Register'!$E$7:$E$106,0)),0)*10000+IF(AND(ISNUMBER('Remediation Tracker'!K40),'Remediation Tracker'!K40&lt;TODAY(),'Remediation Tracker'!J40&lt;&gt;"Completed"),1000,0)+107-ROW('Remediation Tracker'!E40))</f>
        <v>0</v>
      </c>
    </row>
    <row r="64" spans="1:31" ht="24.95" customHeight="1">
      <c r="A64" s="31"/>
      <c r="B64" s="31"/>
      <c r="C64" s="31"/>
      <c r="D64" s="31"/>
      <c r="E64" s="9"/>
      <c r="F64" s="29" t="str">
        <f>IF('Risk Register'!E9="","",'Risk Register'!E9)</f>
        <v>R-003</v>
      </c>
      <c r="G64" s="29"/>
      <c r="H64" s="29" t="str">
        <f>IF($F64="","",'Risk Register'!F9)</f>
        <v>Shared Administrator Accounts</v>
      </c>
      <c r="I64" s="29"/>
      <c r="J64" s="29"/>
      <c r="K64" s="29"/>
      <c r="L64" s="29"/>
      <c r="M64" s="29" t="str">
        <f>IF($F64="","",'Risk Register'!M9&amp;" / "&amp;'Risk Register'!N9)</f>
        <v>12 / High</v>
      </c>
      <c r="N64" s="29"/>
      <c r="O64" s="29" t="str">
        <f>IF($F64="","",'Risk Register'!Q9)</f>
        <v>Pending validation</v>
      </c>
      <c r="P64" s="29"/>
      <c r="Q64" s="29"/>
      <c r="R64" s="29"/>
      <c r="S64" s="29" t="str">
        <f>IF($F64="","",COUNTIFS('Control Assessment'!$F$7:$F$106,$F64,'Control Assessment'!$J$7:$J$106,"&lt;&gt;",'Control Assessment'!$J$7:$J$106,"&lt;&gt;Not assessed",'Control Assessment'!$K$7:$K$106,"&lt;&gt;",'Control Assessment'!$K$7:$K$106,"&lt;&gt;Not assessed")&amp;" / "&amp;COUNTIFS('Control Assessment'!$F$7:$F$106,$F64,'Control Assessment'!$E$7:$E$106,"&lt;&gt;"))</f>
        <v>0 / 1</v>
      </c>
      <c r="T64" s="29"/>
      <c r="U64" s="29"/>
      <c r="V64" s="29" t="str">
        <f>IF($F64="","",COUNTIFS('Evidence Tracker'!$F$7:$F$106,$F64,'Evidence Tracker'!$N$7:$N$106,"Reviewed")&amp;" / "&amp;COUNTIFS('Evidence Tracker'!$F$7:$F$106,$F64,'Evidence Tracker'!$E$7:$E$106,"&lt;&gt;"))</f>
        <v>0 / 1</v>
      </c>
      <c r="W64" s="29"/>
      <c r="X64" s="29"/>
      <c r="Y64" s="29" t="str">
        <f ca="1">IF($F64="","",COUNTIFS('Remediation Tracker'!$F$7:$F$106,$F64,'Remediation Tracker'!$E$7:$E$106,"&lt;&gt;",$AE$30:$AE$129,0)&amp;" / "&amp;COUNTIFS('Remediation Tracker'!$F$7:$F$106,$F64,'Remediation Tracker'!$E$7:$E$106,"&lt;&gt;"))</f>
        <v>0 / 1</v>
      </c>
      <c r="Z64" s="29"/>
      <c r="AA64" s="29"/>
      <c r="AB64" s="29"/>
      <c r="AE64">
        <f ca="1">IF(OR('Remediation Tracker'!E41="",AND('Remediation Tracker'!I41="Approved",'Remediation Tracker'!J41="Completed",ISNUMBER('Remediation Tracker'!L41),'Remediation Tracker'!L41&gt;0,'Remediation Tracker'!L41&lt;=TODAY(),'Remediation Tracker'!N41="Validated",IFERROR(AND('Remediation Tracker'!M41&lt;&gt;"",COUNTIF('Evidence Tracker'!$E$7:$E$106,'Remediation Tracker'!M41)=1,ISNUMBER(INDEX('Evidence Tracker'!$M$7:$M$106,MATCH('Remediation Tracker'!M41,'Evidence Tracker'!$E$7:$E$106,0))),LEN(TRIM(INDEX('Evidence Tracker'!$O$7:$O$106,MATCH('Remediation Tracker'!M41,'Evidence Tracker'!$E$7:$E$106,0))))&gt;0,LEN(TRIM(INDEX('Evidence Tracker'!$P$7:$P$106,MATCH('Remediation Tracker'!M41,'Evidence Tracker'!$E$7:$E$106,0))))&gt;0,COUNTIFS('Evidence Tracker'!$E$7:$E$106,'Remediation Tracker'!M41,'Evidence Tracker'!$F$7:$F$106,'Remediation Tracker'!F41,'Evidence Tracker'!$N$7:$N$106,"Reviewed",'Evidence Tracker'!$Q$7:$Q$106,"Validated",'Evidence Tracker'!$M$7:$M$106,"&gt;0",'Evidence Tracker'!$M$7:$M$106,"&lt;="&amp;TODAY())=1),FALSE))),0,IFERROR(INDEX('Risk Register'!$M$7:$M$106,MATCH('Remediation Tracker'!F41,'Risk Register'!$E$7:$E$106,0)),0)*10000+IF(AND(ISNUMBER('Remediation Tracker'!K41),'Remediation Tracker'!K41&lt;TODAY(),'Remediation Tracker'!J41&lt;&gt;"Completed"),1000,0)+107-ROW('Remediation Tracker'!E41))</f>
        <v>0</v>
      </c>
    </row>
    <row r="65" spans="1:31" ht="24.95" customHeight="1">
      <c r="A65" s="31"/>
      <c r="B65" s="31"/>
      <c r="C65" s="31"/>
      <c r="D65" s="31"/>
      <c r="E65" s="9"/>
      <c r="F65" s="32" t="str">
        <f>IF('Risk Register'!E10="","",'Risk Register'!E10)</f>
        <v>R-004</v>
      </c>
      <c r="G65" s="32"/>
      <c r="H65" s="32" t="str">
        <f>IF($F65="","",'Risk Register'!F10)</f>
        <v>Missing Formal Cybersecurity Risk Register</v>
      </c>
      <c r="I65" s="32"/>
      <c r="J65" s="32"/>
      <c r="K65" s="32"/>
      <c r="L65" s="32"/>
      <c r="M65" s="32" t="str">
        <f>IF($F65="","",'Risk Register'!M10&amp;" / "&amp;'Risk Register'!N10)</f>
        <v>12 / High</v>
      </c>
      <c r="N65" s="32"/>
      <c r="O65" s="32" t="str">
        <f>IF($F65="","",'Risk Register'!Q10)</f>
        <v>Pending validation</v>
      </c>
      <c r="P65" s="32"/>
      <c r="Q65" s="32"/>
      <c r="R65" s="32"/>
      <c r="S65" s="32" t="str">
        <f>IF($F65="","",COUNTIFS('Control Assessment'!$F$7:$F$106,$F65,'Control Assessment'!$J$7:$J$106,"&lt;&gt;",'Control Assessment'!$J$7:$J$106,"&lt;&gt;Not assessed",'Control Assessment'!$K$7:$K$106,"&lt;&gt;",'Control Assessment'!$K$7:$K$106,"&lt;&gt;Not assessed")&amp;" / "&amp;COUNTIFS('Control Assessment'!$F$7:$F$106,$F65,'Control Assessment'!$E$7:$E$106,"&lt;&gt;"))</f>
        <v>0 / 1</v>
      </c>
      <c r="T65" s="32"/>
      <c r="U65" s="32"/>
      <c r="V65" s="32" t="str">
        <f>IF($F65="","",COUNTIFS('Evidence Tracker'!$F$7:$F$106,$F65,'Evidence Tracker'!$N$7:$N$106,"Reviewed")&amp;" / "&amp;COUNTIFS('Evidence Tracker'!$F$7:$F$106,$F65,'Evidence Tracker'!$E$7:$E$106,"&lt;&gt;"))</f>
        <v>0 / 1</v>
      </c>
      <c r="W65" s="32"/>
      <c r="X65" s="32"/>
      <c r="Y65" s="32" t="str">
        <f ca="1">IF($F65="","",COUNTIFS('Remediation Tracker'!$F$7:$F$106,$F65,'Remediation Tracker'!$E$7:$E$106,"&lt;&gt;",$AE$30:$AE$129,0)&amp;" / "&amp;COUNTIFS('Remediation Tracker'!$F$7:$F$106,$F65,'Remediation Tracker'!$E$7:$E$106,"&lt;&gt;"))</f>
        <v>0 / 1</v>
      </c>
      <c r="Z65" s="32"/>
      <c r="AA65" s="32"/>
      <c r="AB65" s="32"/>
      <c r="AE65">
        <f ca="1">IF(OR('Remediation Tracker'!E42="",AND('Remediation Tracker'!I42="Approved",'Remediation Tracker'!J42="Completed",ISNUMBER('Remediation Tracker'!L42),'Remediation Tracker'!L42&gt;0,'Remediation Tracker'!L42&lt;=TODAY(),'Remediation Tracker'!N42="Validated",IFERROR(AND('Remediation Tracker'!M42&lt;&gt;"",COUNTIF('Evidence Tracker'!$E$7:$E$106,'Remediation Tracker'!M42)=1,ISNUMBER(INDEX('Evidence Tracker'!$M$7:$M$106,MATCH('Remediation Tracker'!M42,'Evidence Tracker'!$E$7:$E$106,0))),LEN(TRIM(INDEX('Evidence Tracker'!$O$7:$O$106,MATCH('Remediation Tracker'!M42,'Evidence Tracker'!$E$7:$E$106,0))))&gt;0,LEN(TRIM(INDEX('Evidence Tracker'!$P$7:$P$106,MATCH('Remediation Tracker'!M42,'Evidence Tracker'!$E$7:$E$106,0))))&gt;0,COUNTIFS('Evidence Tracker'!$E$7:$E$106,'Remediation Tracker'!M42,'Evidence Tracker'!$F$7:$F$106,'Remediation Tracker'!F42,'Evidence Tracker'!$N$7:$N$106,"Reviewed",'Evidence Tracker'!$Q$7:$Q$106,"Validated",'Evidence Tracker'!$M$7:$M$106,"&gt;0",'Evidence Tracker'!$M$7:$M$106,"&lt;="&amp;TODAY())=1),FALSE))),0,IFERROR(INDEX('Risk Register'!$M$7:$M$106,MATCH('Remediation Tracker'!F42,'Risk Register'!$E$7:$E$106,0)),0)*10000+IF(AND(ISNUMBER('Remediation Tracker'!K42),'Remediation Tracker'!K42&lt;TODAY(),'Remediation Tracker'!J42&lt;&gt;"Completed"),1000,0)+107-ROW('Remediation Tracker'!E42))</f>
        <v>0</v>
      </c>
    </row>
    <row r="66" spans="1:31" ht="24.95" customHeight="1">
      <c r="A66" s="31"/>
      <c r="B66" s="31"/>
      <c r="C66" s="31"/>
      <c r="D66" s="31"/>
      <c r="E66" s="9"/>
      <c r="F66" s="29" t="str">
        <f>IF('Risk Register'!E11="","",'Risk Register'!E11)</f>
        <v/>
      </c>
      <c r="G66" s="29"/>
      <c r="H66" s="29" t="str">
        <f>IF($F66="","",'Risk Register'!F11)</f>
        <v/>
      </c>
      <c r="I66" s="29"/>
      <c r="J66" s="29"/>
      <c r="K66" s="29"/>
      <c r="L66" s="29"/>
      <c r="M66" s="29" t="str">
        <f>IF($F66="","",'Risk Register'!M11&amp;" / "&amp;'Risk Register'!N11)</f>
        <v/>
      </c>
      <c r="N66" s="29"/>
      <c r="O66" s="29" t="str">
        <f>IF($F66="","",'Risk Register'!Q11)</f>
        <v/>
      </c>
      <c r="P66" s="29"/>
      <c r="Q66" s="29"/>
      <c r="R66" s="29"/>
      <c r="S66" s="29" t="str">
        <f>IF($F66="","",COUNTIFS('Control Assessment'!$F$7:$F$106,$F66,'Control Assessment'!$J$7:$J$106,"&lt;&gt;",'Control Assessment'!$J$7:$J$106,"&lt;&gt;Not assessed",'Control Assessment'!$K$7:$K$106,"&lt;&gt;",'Control Assessment'!$K$7:$K$106,"&lt;&gt;Not assessed")&amp;" / "&amp;COUNTIFS('Control Assessment'!$F$7:$F$106,$F66,'Control Assessment'!$E$7:$E$106,"&lt;&gt;"))</f>
        <v/>
      </c>
      <c r="T66" s="29"/>
      <c r="U66" s="29"/>
      <c r="V66" s="29" t="str">
        <f>IF($F66="","",COUNTIFS('Evidence Tracker'!$F$7:$F$106,$F66,'Evidence Tracker'!$N$7:$N$106,"Reviewed")&amp;" / "&amp;COUNTIFS('Evidence Tracker'!$F$7:$F$106,$F66,'Evidence Tracker'!$E$7:$E$106,"&lt;&gt;"))</f>
        <v/>
      </c>
      <c r="W66" s="29"/>
      <c r="X66" s="29"/>
      <c r="Y66" s="29" t="str">
        <f>IF($F66="","",COUNTIFS('Remediation Tracker'!$F$7:$F$106,$F66,'Remediation Tracker'!$E$7:$E$106,"&lt;&gt;",$AE$30:$AE$129,0)&amp;" / "&amp;COUNTIFS('Remediation Tracker'!$F$7:$F$106,$F66,'Remediation Tracker'!$E$7:$E$106,"&lt;&gt;"))</f>
        <v/>
      </c>
      <c r="Z66" s="29"/>
      <c r="AA66" s="29"/>
      <c r="AB66" s="29"/>
      <c r="AE66">
        <f ca="1">IF(OR('Remediation Tracker'!E43="",AND('Remediation Tracker'!I43="Approved",'Remediation Tracker'!J43="Completed",ISNUMBER('Remediation Tracker'!L43),'Remediation Tracker'!L43&gt;0,'Remediation Tracker'!L43&lt;=TODAY(),'Remediation Tracker'!N43="Validated",IFERROR(AND('Remediation Tracker'!M43&lt;&gt;"",COUNTIF('Evidence Tracker'!$E$7:$E$106,'Remediation Tracker'!M43)=1,ISNUMBER(INDEX('Evidence Tracker'!$M$7:$M$106,MATCH('Remediation Tracker'!M43,'Evidence Tracker'!$E$7:$E$106,0))),LEN(TRIM(INDEX('Evidence Tracker'!$O$7:$O$106,MATCH('Remediation Tracker'!M43,'Evidence Tracker'!$E$7:$E$106,0))))&gt;0,LEN(TRIM(INDEX('Evidence Tracker'!$P$7:$P$106,MATCH('Remediation Tracker'!M43,'Evidence Tracker'!$E$7:$E$106,0))))&gt;0,COUNTIFS('Evidence Tracker'!$E$7:$E$106,'Remediation Tracker'!M43,'Evidence Tracker'!$F$7:$F$106,'Remediation Tracker'!F43,'Evidence Tracker'!$N$7:$N$106,"Reviewed",'Evidence Tracker'!$Q$7:$Q$106,"Validated",'Evidence Tracker'!$M$7:$M$106,"&gt;0",'Evidence Tracker'!$M$7:$M$106,"&lt;="&amp;TODAY())=1),FALSE))),0,IFERROR(INDEX('Risk Register'!$M$7:$M$106,MATCH('Remediation Tracker'!F43,'Risk Register'!$E$7:$E$106,0)),0)*10000+IF(AND(ISNUMBER('Remediation Tracker'!K43),'Remediation Tracker'!K43&lt;TODAY(),'Remediation Tracker'!J43&lt;&gt;"Completed"),1000,0)+107-ROW('Remediation Tracker'!E43))</f>
        <v>0</v>
      </c>
    </row>
    <row r="67" spans="1:31" ht="24.95" customHeight="1">
      <c r="A67" s="31"/>
      <c r="B67" s="31"/>
      <c r="C67" s="31"/>
      <c r="D67" s="31"/>
      <c r="E67" s="9"/>
      <c r="F67" s="32" t="str">
        <f>IF('Risk Register'!E12="","",'Risk Register'!E12)</f>
        <v/>
      </c>
      <c r="G67" s="32"/>
      <c r="H67" s="32" t="str">
        <f>IF($F67="","",'Risk Register'!F12)</f>
        <v/>
      </c>
      <c r="I67" s="32"/>
      <c r="J67" s="32"/>
      <c r="K67" s="32"/>
      <c r="L67" s="32"/>
      <c r="M67" s="32" t="str">
        <f>IF($F67="","",'Risk Register'!M12&amp;" / "&amp;'Risk Register'!N12)</f>
        <v/>
      </c>
      <c r="N67" s="32"/>
      <c r="O67" s="32" t="str">
        <f>IF($F67="","",'Risk Register'!Q12)</f>
        <v/>
      </c>
      <c r="P67" s="32"/>
      <c r="Q67" s="32"/>
      <c r="R67" s="32"/>
      <c r="S67" s="32" t="str">
        <f>IF($F67="","",COUNTIFS('Control Assessment'!$F$7:$F$106,$F67,'Control Assessment'!$J$7:$J$106,"&lt;&gt;",'Control Assessment'!$J$7:$J$106,"&lt;&gt;Not assessed",'Control Assessment'!$K$7:$K$106,"&lt;&gt;",'Control Assessment'!$K$7:$K$106,"&lt;&gt;Not assessed")&amp;" / "&amp;COUNTIFS('Control Assessment'!$F$7:$F$106,$F67,'Control Assessment'!$E$7:$E$106,"&lt;&gt;"))</f>
        <v/>
      </c>
      <c r="T67" s="32"/>
      <c r="U67" s="32"/>
      <c r="V67" s="32" t="str">
        <f>IF($F67="","",COUNTIFS('Evidence Tracker'!$F$7:$F$106,$F67,'Evidence Tracker'!$N$7:$N$106,"Reviewed")&amp;" / "&amp;COUNTIFS('Evidence Tracker'!$F$7:$F$106,$F67,'Evidence Tracker'!$E$7:$E$106,"&lt;&gt;"))</f>
        <v/>
      </c>
      <c r="W67" s="32"/>
      <c r="X67" s="32"/>
      <c r="Y67" s="32" t="str">
        <f>IF($F67="","",COUNTIFS('Remediation Tracker'!$F$7:$F$106,$F67,'Remediation Tracker'!$E$7:$E$106,"&lt;&gt;",$AE$30:$AE$129,0)&amp;" / "&amp;COUNTIFS('Remediation Tracker'!$F$7:$F$106,$F67,'Remediation Tracker'!$E$7:$E$106,"&lt;&gt;"))</f>
        <v/>
      </c>
      <c r="Z67" s="32"/>
      <c r="AA67" s="32"/>
      <c r="AB67" s="32"/>
      <c r="AE67">
        <f ca="1">IF(OR('Remediation Tracker'!E44="",AND('Remediation Tracker'!I44="Approved",'Remediation Tracker'!J44="Completed",ISNUMBER('Remediation Tracker'!L44),'Remediation Tracker'!L44&gt;0,'Remediation Tracker'!L44&lt;=TODAY(),'Remediation Tracker'!N44="Validated",IFERROR(AND('Remediation Tracker'!M44&lt;&gt;"",COUNTIF('Evidence Tracker'!$E$7:$E$106,'Remediation Tracker'!M44)=1,ISNUMBER(INDEX('Evidence Tracker'!$M$7:$M$106,MATCH('Remediation Tracker'!M44,'Evidence Tracker'!$E$7:$E$106,0))),LEN(TRIM(INDEX('Evidence Tracker'!$O$7:$O$106,MATCH('Remediation Tracker'!M44,'Evidence Tracker'!$E$7:$E$106,0))))&gt;0,LEN(TRIM(INDEX('Evidence Tracker'!$P$7:$P$106,MATCH('Remediation Tracker'!M44,'Evidence Tracker'!$E$7:$E$106,0))))&gt;0,COUNTIFS('Evidence Tracker'!$E$7:$E$106,'Remediation Tracker'!M44,'Evidence Tracker'!$F$7:$F$106,'Remediation Tracker'!F44,'Evidence Tracker'!$N$7:$N$106,"Reviewed",'Evidence Tracker'!$Q$7:$Q$106,"Validated",'Evidence Tracker'!$M$7:$M$106,"&gt;0",'Evidence Tracker'!$M$7:$M$106,"&lt;="&amp;TODAY())=1),FALSE))),0,IFERROR(INDEX('Risk Register'!$M$7:$M$106,MATCH('Remediation Tracker'!F44,'Risk Register'!$E$7:$E$106,0)),0)*10000+IF(AND(ISNUMBER('Remediation Tracker'!K44),'Remediation Tracker'!K44&lt;TODAY(),'Remediation Tracker'!J44&lt;&gt;"Completed"),1000,0)+107-ROW('Remediation Tracker'!E44))</f>
        <v>0</v>
      </c>
    </row>
    <row r="68" spans="1:31" ht="24.95" customHeight="1">
      <c r="A68" s="31"/>
      <c r="B68" s="31"/>
      <c r="C68" s="31"/>
      <c r="D68" s="31"/>
      <c r="E68" s="9"/>
      <c r="F68" s="29" t="str">
        <f>IF('Risk Register'!E13="","",'Risk Register'!E13)</f>
        <v/>
      </c>
      <c r="G68" s="29"/>
      <c r="H68" s="29" t="str">
        <f>IF($F68="","",'Risk Register'!F13)</f>
        <v/>
      </c>
      <c r="I68" s="29"/>
      <c r="J68" s="29"/>
      <c r="K68" s="29"/>
      <c r="L68" s="29"/>
      <c r="M68" s="29" t="str">
        <f>IF($F68="","",'Risk Register'!M13&amp;" / "&amp;'Risk Register'!N13)</f>
        <v/>
      </c>
      <c r="N68" s="29"/>
      <c r="O68" s="29" t="str">
        <f>IF($F68="","",'Risk Register'!Q13)</f>
        <v/>
      </c>
      <c r="P68" s="29"/>
      <c r="Q68" s="29"/>
      <c r="R68" s="29"/>
      <c r="S68" s="29" t="str">
        <f>IF($F68="","",COUNTIFS('Control Assessment'!$F$7:$F$106,$F68,'Control Assessment'!$J$7:$J$106,"&lt;&gt;",'Control Assessment'!$J$7:$J$106,"&lt;&gt;Not assessed",'Control Assessment'!$K$7:$K$106,"&lt;&gt;",'Control Assessment'!$K$7:$K$106,"&lt;&gt;Not assessed")&amp;" / "&amp;COUNTIFS('Control Assessment'!$F$7:$F$106,$F68,'Control Assessment'!$E$7:$E$106,"&lt;&gt;"))</f>
        <v/>
      </c>
      <c r="T68" s="29"/>
      <c r="U68" s="29"/>
      <c r="V68" s="29" t="str">
        <f>IF($F68="","",COUNTIFS('Evidence Tracker'!$F$7:$F$106,$F68,'Evidence Tracker'!$N$7:$N$106,"Reviewed")&amp;" / "&amp;COUNTIFS('Evidence Tracker'!$F$7:$F$106,$F68,'Evidence Tracker'!$E$7:$E$106,"&lt;&gt;"))</f>
        <v/>
      </c>
      <c r="W68" s="29"/>
      <c r="X68" s="29"/>
      <c r="Y68" s="29" t="str">
        <f>IF($F68="","",COUNTIFS('Remediation Tracker'!$F$7:$F$106,$F68,'Remediation Tracker'!$E$7:$E$106,"&lt;&gt;",$AE$30:$AE$129,0)&amp;" / "&amp;COUNTIFS('Remediation Tracker'!$F$7:$F$106,$F68,'Remediation Tracker'!$E$7:$E$106,"&lt;&gt;"))</f>
        <v/>
      </c>
      <c r="Z68" s="29"/>
      <c r="AA68" s="29"/>
      <c r="AB68" s="29"/>
      <c r="AE68">
        <f ca="1">IF(OR('Remediation Tracker'!E45="",AND('Remediation Tracker'!I45="Approved",'Remediation Tracker'!J45="Completed",ISNUMBER('Remediation Tracker'!L45),'Remediation Tracker'!L45&gt;0,'Remediation Tracker'!L45&lt;=TODAY(),'Remediation Tracker'!N45="Validated",IFERROR(AND('Remediation Tracker'!M45&lt;&gt;"",COUNTIF('Evidence Tracker'!$E$7:$E$106,'Remediation Tracker'!M45)=1,ISNUMBER(INDEX('Evidence Tracker'!$M$7:$M$106,MATCH('Remediation Tracker'!M45,'Evidence Tracker'!$E$7:$E$106,0))),LEN(TRIM(INDEX('Evidence Tracker'!$O$7:$O$106,MATCH('Remediation Tracker'!M45,'Evidence Tracker'!$E$7:$E$106,0))))&gt;0,LEN(TRIM(INDEX('Evidence Tracker'!$P$7:$P$106,MATCH('Remediation Tracker'!M45,'Evidence Tracker'!$E$7:$E$106,0))))&gt;0,COUNTIFS('Evidence Tracker'!$E$7:$E$106,'Remediation Tracker'!M45,'Evidence Tracker'!$F$7:$F$106,'Remediation Tracker'!F45,'Evidence Tracker'!$N$7:$N$106,"Reviewed",'Evidence Tracker'!$Q$7:$Q$106,"Validated",'Evidence Tracker'!$M$7:$M$106,"&gt;0",'Evidence Tracker'!$M$7:$M$106,"&lt;="&amp;TODAY())=1),FALSE))),0,IFERROR(INDEX('Risk Register'!$M$7:$M$106,MATCH('Remediation Tracker'!F45,'Risk Register'!$E$7:$E$106,0)),0)*10000+IF(AND(ISNUMBER('Remediation Tracker'!K45),'Remediation Tracker'!K45&lt;TODAY(),'Remediation Tracker'!J45&lt;&gt;"Completed"),1000,0)+107-ROW('Remediation Tracker'!E45))</f>
        <v>0</v>
      </c>
    </row>
    <row r="69" spans="1:31" ht="24.95" customHeight="1">
      <c r="A69" s="31"/>
      <c r="B69" s="31"/>
      <c r="C69" s="31"/>
      <c r="D69" s="31"/>
      <c r="E69" s="9"/>
      <c r="F69" s="32" t="str">
        <f>IF('Risk Register'!E14="","",'Risk Register'!E14)</f>
        <v/>
      </c>
      <c r="G69" s="32"/>
      <c r="H69" s="32" t="str">
        <f>IF($F69="","",'Risk Register'!F14)</f>
        <v/>
      </c>
      <c r="I69" s="32"/>
      <c r="J69" s="32"/>
      <c r="K69" s="32"/>
      <c r="L69" s="32"/>
      <c r="M69" s="32" t="str">
        <f>IF($F69="","",'Risk Register'!M14&amp;" / "&amp;'Risk Register'!N14)</f>
        <v/>
      </c>
      <c r="N69" s="32"/>
      <c r="O69" s="32" t="str">
        <f>IF($F69="","",'Risk Register'!Q14)</f>
        <v/>
      </c>
      <c r="P69" s="32"/>
      <c r="Q69" s="32"/>
      <c r="R69" s="32"/>
      <c r="S69" s="32" t="str">
        <f>IF($F69="","",COUNTIFS('Control Assessment'!$F$7:$F$106,$F69,'Control Assessment'!$J$7:$J$106,"&lt;&gt;",'Control Assessment'!$J$7:$J$106,"&lt;&gt;Not assessed",'Control Assessment'!$K$7:$K$106,"&lt;&gt;",'Control Assessment'!$K$7:$K$106,"&lt;&gt;Not assessed")&amp;" / "&amp;COUNTIFS('Control Assessment'!$F$7:$F$106,$F69,'Control Assessment'!$E$7:$E$106,"&lt;&gt;"))</f>
        <v/>
      </c>
      <c r="T69" s="32"/>
      <c r="U69" s="32"/>
      <c r="V69" s="32" t="str">
        <f>IF($F69="","",COUNTIFS('Evidence Tracker'!$F$7:$F$106,$F69,'Evidence Tracker'!$N$7:$N$106,"Reviewed")&amp;" / "&amp;COUNTIFS('Evidence Tracker'!$F$7:$F$106,$F69,'Evidence Tracker'!$E$7:$E$106,"&lt;&gt;"))</f>
        <v/>
      </c>
      <c r="W69" s="32"/>
      <c r="X69" s="32"/>
      <c r="Y69" s="32" t="str">
        <f>IF($F69="","",COUNTIFS('Remediation Tracker'!$F$7:$F$106,$F69,'Remediation Tracker'!$E$7:$E$106,"&lt;&gt;",$AE$30:$AE$129,0)&amp;" / "&amp;COUNTIFS('Remediation Tracker'!$F$7:$F$106,$F69,'Remediation Tracker'!$E$7:$E$106,"&lt;&gt;"))</f>
        <v/>
      </c>
      <c r="Z69" s="32"/>
      <c r="AA69" s="32"/>
      <c r="AB69" s="32"/>
      <c r="AE69">
        <f ca="1">IF(OR('Remediation Tracker'!E46="",AND('Remediation Tracker'!I46="Approved",'Remediation Tracker'!J46="Completed",ISNUMBER('Remediation Tracker'!L46),'Remediation Tracker'!L46&gt;0,'Remediation Tracker'!L46&lt;=TODAY(),'Remediation Tracker'!N46="Validated",IFERROR(AND('Remediation Tracker'!M46&lt;&gt;"",COUNTIF('Evidence Tracker'!$E$7:$E$106,'Remediation Tracker'!M46)=1,ISNUMBER(INDEX('Evidence Tracker'!$M$7:$M$106,MATCH('Remediation Tracker'!M46,'Evidence Tracker'!$E$7:$E$106,0))),LEN(TRIM(INDEX('Evidence Tracker'!$O$7:$O$106,MATCH('Remediation Tracker'!M46,'Evidence Tracker'!$E$7:$E$106,0))))&gt;0,LEN(TRIM(INDEX('Evidence Tracker'!$P$7:$P$106,MATCH('Remediation Tracker'!M46,'Evidence Tracker'!$E$7:$E$106,0))))&gt;0,COUNTIFS('Evidence Tracker'!$E$7:$E$106,'Remediation Tracker'!M46,'Evidence Tracker'!$F$7:$F$106,'Remediation Tracker'!F46,'Evidence Tracker'!$N$7:$N$106,"Reviewed",'Evidence Tracker'!$Q$7:$Q$106,"Validated",'Evidence Tracker'!$M$7:$M$106,"&gt;0",'Evidence Tracker'!$M$7:$M$106,"&lt;="&amp;TODAY())=1),FALSE))),0,IFERROR(INDEX('Risk Register'!$M$7:$M$106,MATCH('Remediation Tracker'!F46,'Risk Register'!$E$7:$E$106,0)),0)*10000+IF(AND(ISNUMBER('Remediation Tracker'!K46),'Remediation Tracker'!K46&lt;TODAY(),'Remediation Tracker'!J46&lt;&gt;"Completed"),1000,0)+107-ROW('Remediation Tracker'!E46))</f>
        <v>0</v>
      </c>
    </row>
    <row r="70" spans="1:31" ht="24.95" customHeight="1">
      <c r="A70" s="31"/>
      <c r="B70" s="31"/>
      <c r="C70" s="31"/>
      <c r="D70" s="31"/>
      <c r="E70" s="9"/>
      <c r="F70" s="29" t="str">
        <f>IF('Risk Register'!E15="","",'Risk Register'!E15)</f>
        <v/>
      </c>
      <c r="G70" s="29"/>
      <c r="H70" s="29" t="str">
        <f>IF($F70="","",'Risk Register'!F15)</f>
        <v/>
      </c>
      <c r="I70" s="29"/>
      <c r="J70" s="29"/>
      <c r="K70" s="29"/>
      <c r="L70" s="29"/>
      <c r="M70" s="29" t="str">
        <f>IF($F70="","",'Risk Register'!M15&amp;" / "&amp;'Risk Register'!N15)</f>
        <v/>
      </c>
      <c r="N70" s="29"/>
      <c r="O70" s="29" t="str">
        <f>IF($F70="","",'Risk Register'!Q15)</f>
        <v/>
      </c>
      <c r="P70" s="29"/>
      <c r="Q70" s="29"/>
      <c r="R70" s="29"/>
      <c r="S70" s="29" t="str">
        <f>IF($F70="","",COUNTIFS('Control Assessment'!$F$7:$F$106,$F70,'Control Assessment'!$J$7:$J$106,"&lt;&gt;",'Control Assessment'!$J$7:$J$106,"&lt;&gt;Not assessed",'Control Assessment'!$K$7:$K$106,"&lt;&gt;",'Control Assessment'!$K$7:$K$106,"&lt;&gt;Not assessed")&amp;" / "&amp;COUNTIFS('Control Assessment'!$F$7:$F$106,$F70,'Control Assessment'!$E$7:$E$106,"&lt;&gt;"))</f>
        <v/>
      </c>
      <c r="T70" s="29"/>
      <c r="U70" s="29"/>
      <c r="V70" s="29" t="str">
        <f>IF($F70="","",COUNTIFS('Evidence Tracker'!$F$7:$F$106,$F70,'Evidence Tracker'!$N$7:$N$106,"Reviewed")&amp;" / "&amp;COUNTIFS('Evidence Tracker'!$F$7:$F$106,$F70,'Evidence Tracker'!$E$7:$E$106,"&lt;&gt;"))</f>
        <v/>
      </c>
      <c r="W70" s="29"/>
      <c r="X70" s="29"/>
      <c r="Y70" s="29" t="str">
        <f>IF($F70="","",COUNTIFS('Remediation Tracker'!$F$7:$F$106,$F70,'Remediation Tracker'!$E$7:$E$106,"&lt;&gt;",$AE$30:$AE$129,0)&amp;" / "&amp;COUNTIFS('Remediation Tracker'!$F$7:$F$106,$F70,'Remediation Tracker'!$E$7:$E$106,"&lt;&gt;"))</f>
        <v/>
      </c>
      <c r="Z70" s="29"/>
      <c r="AA70" s="29"/>
      <c r="AB70" s="29"/>
      <c r="AE70">
        <f ca="1">IF(OR('Remediation Tracker'!E47="",AND('Remediation Tracker'!I47="Approved",'Remediation Tracker'!J47="Completed",ISNUMBER('Remediation Tracker'!L47),'Remediation Tracker'!L47&gt;0,'Remediation Tracker'!L47&lt;=TODAY(),'Remediation Tracker'!N47="Validated",IFERROR(AND('Remediation Tracker'!M47&lt;&gt;"",COUNTIF('Evidence Tracker'!$E$7:$E$106,'Remediation Tracker'!M47)=1,ISNUMBER(INDEX('Evidence Tracker'!$M$7:$M$106,MATCH('Remediation Tracker'!M47,'Evidence Tracker'!$E$7:$E$106,0))),LEN(TRIM(INDEX('Evidence Tracker'!$O$7:$O$106,MATCH('Remediation Tracker'!M47,'Evidence Tracker'!$E$7:$E$106,0))))&gt;0,LEN(TRIM(INDEX('Evidence Tracker'!$P$7:$P$106,MATCH('Remediation Tracker'!M47,'Evidence Tracker'!$E$7:$E$106,0))))&gt;0,COUNTIFS('Evidence Tracker'!$E$7:$E$106,'Remediation Tracker'!M47,'Evidence Tracker'!$F$7:$F$106,'Remediation Tracker'!F47,'Evidence Tracker'!$N$7:$N$106,"Reviewed",'Evidence Tracker'!$Q$7:$Q$106,"Validated",'Evidence Tracker'!$M$7:$M$106,"&gt;0",'Evidence Tracker'!$M$7:$M$106,"&lt;="&amp;TODAY())=1),FALSE))),0,IFERROR(INDEX('Risk Register'!$M$7:$M$106,MATCH('Remediation Tracker'!F47,'Risk Register'!$E$7:$E$106,0)),0)*10000+IF(AND(ISNUMBER('Remediation Tracker'!K47),'Remediation Tracker'!K47&lt;TODAY(),'Remediation Tracker'!J47&lt;&gt;"Completed"),1000,0)+107-ROW('Remediation Tracker'!E47))</f>
        <v>0</v>
      </c>
    </row>
    <row r="71" spans="1:31" ht="24.95" customHeight="1">
      <c r="A71" s="31"/>
      <c r="B71" s="31"/>
      <c r="C71" s="31"/>
      <c r="D71" s="31"/>
      <c r="E71" s="9"/>
      <c r="F71" s="32" t="str">
        <f>IF('Risk Register'!E16="","",'Risk Register'!E16)</f>
        <v/>
      </c>
      <c r="G71" s="32"/>
      <c r="H71" s="32" t="str">
        <f>IF($F71="","",'Risk Register'!F16)</f>
        <v/>
      </c>
      <c r="I71" s="32"/>
      <c r="J71" s="32"/>
      <c r="K71" s="32"/>
      <c r="L71" s="32"/>
      <c r="M71" s="32" t="str">
        <f>IF($F71="","",'Risk Register'!M16&amp;" / "&amp;'Risk Register'!N16)</f>
        <v/>
      </c>
      <c r="N71" s="32"/>
      <c r="O71" s="32" t="str">
        <f>IF($F71="","",'Risk Register'!Q16)</f>
        <v/>
      </c>
      <c r="P71" s="32"/>
      <c r="Q71" s="32"/>
      <c r="R71" s="32"/>
      <c r="S71" s="32" t="str">
        <f>IF($F71="","",COUNTIFS('Control Assessment'!$F$7:$F$106,$F71,'Control Assessment'!$J$7:$J$106,"&lt;&gt;",'Control Assessment'!$J$7:$J$106,"&lt;&gt;Not assessed",'Control Assessment'!$K$7:$K$106,"&lt;&gt;",'Control Assessment'!$K$7:$K$106,"&lt;&gt;Not assessed")&amp;" / "&amp;COUNTIFS('Control Assessment'!$F$7:$F$106,$F71,'Control Assessment'!$E$7:$E$106,"&lt;&gt;"))</f>
        <v/>
      </c>
      <c r="T71" s="32"/>
      <c r="U71" s="32"/>
      <c r="V71" s="32" t="str">
        <f>IF($F71="","",COUNTIFS('Evidence Tracker'!$F$7:$F$106,$F71,'Evidence Tracker'!$N$7:$N$106,"Reviewed")&amp;" / "&amp;COUNTIFS('Evidence Tracker'!$F$7:$F$106,$F71,'Evidence Tracker'!$E$7:$E$106,"&lt;&gt;"))</f>
        <v/>
      </c>
      <c r="W71" s="32"/>
      <c r="X71" s="32"/>
      <c r="Y71" s="32" t="str">
        <f>IF($F71="","",COUNTIFS('Remediation Tracker'!$F$7:$F$106,$F71,'Remediation Tracker'!$E$7:$E$106,"&lt;&gt;",$AE$30:$AE$129,0)&amp;" / "&amp;COUNTIFS('Remediation Tracker'!$F$7:$F$106,$F71,'Remediation Tracker'!$E$7:$E$106,"&lt;&gt;"))</f>
        <v/>
      </c>
      <c r="Z71" s="32"/>
      <c r="AA71" s="32"/>
      <c r="AB71" s="32"/>
      <c r="AE71">
        <f ca="1">IF(OR('Remediation Tracker'!E48="",AND('Remediation Tracker'!I48="Approved",'Remediation Tracker'!J48="Completed",ISNUMBER('Remediation Tracker'!L48),'Remediation Tracker'!L48&gt;0,'Remediation Tracker'!L48&lt;=TODAY(),'Remediation Tracker'!N48="Validated",IFERROR(AND('Remediation Tracker'!M48&lt;&gt;"",COUNTIF('Evidence Tracker'!$E$7:$E$106,'Remediation Tracker'!M48)=1,ISNUMBER(INDEX('Evidence Tracker'!$M$7:$M$106,MATCH('Remediation Tracker'!M48,'Evidence Tracker'!$E$7:$E$106,0))),LEN(TRIM(INDEX('Evidence Tracker'!$O$7:$O$106,MATCH('Remediation Tracker'!M48,'Evidence Tracker'!$E$7:$E$106,0))))&gt;0,LEN(TRIM(INDEX('Evidence Tracker'!$P$7:$P$106,MATCH('Remediation Tracker'!M48,'Evidence Tracker'!$E$7:$E$106,0))))&gt;0,COUNTIFS('Evidence Tracker'!$E$7:$E$106,'Remediation Tracker'!M48,'Evidence Tracker'!$F$7:$F$106,'Remediation Tracker'!F48,'Evidence Tracker'!$N$7:$N$106,"Reviewed",'Evidence Tracker'!$Q$7:$Q$106,"Validated",'Evidence Tracker'!$M$7:$M$106,"&gt;0",'Evidence Tracker'!$M$7:$M$106,"&lt;="&amp;TODAY())=1),FALSE))),0,IFERROR(INDEX('Risk Register'!$M$7:$M$106,MATCH('Remediation Tracker'!F48,'Risk Register'!$E$7:$E$106,0)),0)*10000+IF(AND(ISNUMBER('Remediation Tracker'!K48),'Remediation Tracker'!K48&lt;TODAY(),'Remediation Tracker'!J48&lt;&gt;"Completed"),1000,0)+107-ROW('Remediation Tracker'!E48))</f>
        <v>0</v>
      </c>
    </row>
    <row r="72" spans="1:31" ht="24.95" customHeight="1">
      <c r="A72" s="31"/>
      <c r="B72" s="31"/>
      <c r="C72" s="31"/>
      <c r="D72" s="31"/>
      <c r="E72" s="9"/>
      <c r="F72" s="25"/>
      <c r="G72" s="25"/>
      <c r="H72" s="25"/>
      <c r="I72" s="25"/>
      <c r="J72" s="25"/>
      <c r="K72" s="25"/>
      <c r="L72" s="25"/>
      <c r="M72" s="25"/>
      <c r="N72" s="25"/>
      <c r="O72" s="25"/>
      <c r="P72" s="25"/>
      <c r="Q72" s="25"/>
      <c r="R72" s="25"/>
      <c r="S72" s="25"/>
      <c r="T72" s="25"/>
      <c r="U72" s="25"/>
      <c r="V72" s="25"/>
      <c r="W72" s="25"/>
      <c r="X72" s="25"/>
      <c r="Y72" s="25"/>
      <c r="Z72" s="25"/>
      <c r="AA72" s="25"/>
      <c r="AB72" s="25"/>
      <c r="AE72">
        <f ca="1">IF(OR('Remediation Tracker'!E49="",AND('Remediation Tracker'!I49="Approved",'Remediation Tracker'!J49="Completed",ISNUMBER('Remediation Tracker'!L49),'Remediation Tracker'!L49&gt;0,'Remediation Tracker'!L49&lt;=TODAY(),'Remediation Tracker'!N49="Validated",IFERROR(AND('Remediation Tracker'!M49&lt;&gt;"",COUNTIF('Evidence Tracker'!$E$7:$E$106,'Remediation Tracker'!M49)=1,ISNUMBER(INDEX('Evidence Tracker'!$M$7:$M$106,MATCH('Remediation Tracker'!M49,'Evidence Tracker'!$E$7:$E$106,0))),LEN(TRIM(INDEX('Evidence Tracker'!$O$7:$O$106,MATCH('Remediation Tracker'!M49,'Evidence Tracker'!$E$7:$E$106,0))))&gt;0,LEN(TRIM(INDEX('Evidence Tracker'!$P$7:$P$106,MATCH('Remediation Tracker'!M49,'Evidence Tracker'!$E$7:$E$106,0))))&gt;0,COUNTIFS('Evidence Tracker'!$E$7:$E$106,'Remediation Tracker'!M49,'Evidence Tracker'!$F$7:$F$106,'Remediation Tracker'!F49,'Evidence Tracker'!$N$7:$N$106,"Reviewed",'Evidence Tracker'!$Q$7:$Q$106,"Validated",'Evidence Tracker'!$M$7:$M$106,"&gt;0",'Evidence Tracker'!$M$7:$M$106,"&lt;="&amp;TODAY())=1),FALSE))),0,IFERROR(INDEX('Risk Register'!$M$7:$M$106,MATCH('Remediation Tracker'!F49,'Risk Register'!$E$7:$E$106,0)),0)*10000+IF(AND(ISNUMBER('Remediation Tracker'!K49),'Remediation Tracker'!K49&lt;TODAY(),'Remediation Tracker'!J49&lt;&gt;"Completed"),1000,0)+107-ROW('Remediation Tracker'!E49))</f>
        <v>0</v>
      </c>
    </row>
    <row r="73" spans="1:31" ht="24.95" customHeight="1">
      <c r="A73" s="31"/>
      <c r="B73" s="31"/>
      <c r="C73" s="31"/>
      <c r="D73" s="31"/>
      <c r="E73" s="9"/>
      <c r="F73" s="34" t="s">
        <v>168</v>
      </c>
      <c r="G73" s="34" t="s">
        <v>168</v>
      </c>
      <c r="H73" s="34" t="s">
        <v>168</v>
      </c>
      <c r="I73" s="34" t="s">
        <v>168</v>
      </c>
      <c r="J73" s="34" t="s">
        <v>168</v>
      </c>
      <c r="K73" s="34" t="s">
        <v>168</v>
      </c>
      <c r="L73" s="34" t="s">
        <v>168</v>
      </c>
      <c r="M73" s="34" t="s">
        <v>168</v>
      </c>
      <c r="N73" s="34" t="s">
        <v>168</v>
      </c>
      <c r="O73" s="34" t="s">
        <v>168</v>
      </c>
      <c r="P73" s="34" t="s">
        <v>168</v>
      </c>
      <c r="Q73" s="25"/>
      <c r="R73" s="34" t="s">
        <v>169</v>
      </c>
      <c r="S73" s="34" t="s">
        <v>169</v>
      </c>
      <c r="T73" s="34" t="s">
        <v>169</v>
      </c>
      <c r="U73" s="34" t="s">
        <v>169</v>
      </c>
      <c r="V73" s="34" t="s">
        <v>169</v>
      </c>
      <c r="W73" s="34" t="s">
        <v>169</v>
      </c>
      <c r="X73" s="34" t="s">
        <v>169</v>
      </c>
      <c r="Y73" s="34" t="s">
        <v>169</v>
      </c>
      <c r="Z73" s="34" t="s">
        <v>169</v>
      </c>
      <c r="AA73" s="34" t="s">
        <v>169</v>
      </c>
      <c r="AB73" s="34" t="s">
        <v>169</v>
      </c>
      <c r="AE73">
        <f ca="1">IF(OR('Remediation Tracker'!E50="",AND('Remediation Tracker'!I50="Approved",'Remediation Tracker'!J50="Completed",ISNUMBER('Remediation Tracker'!L50),'Remediation Tracker'!L50&gt;0,'Remediation Tracker'!L50&lt;=TODAY(),'Remediation Tracker'!N50="Validated",IFERROR(AND('Remediation Tracker'!M50&lt;&gt;"",COUNTIF('Evidence Tracker'!$E$7:$E$106,'Remediation Tracker'!M50)=1,ISNUMBER(INDEX('Evidence Tracker'!$M$7:$M$106,MATCH('Remediation Tracker'!M50,'Evidence Tracker'!$E$7:$E$106,0))),LEN(TRIM(INDEX('Evidence Tracker'!$O$7:$O$106,MATCH('Remediation Tracker'!M50,'Evidence Tracker'!$E$7:$E$106,0))))&gt;0,LEN(TRIM(INDEX('Evidence Tracker'!$P$7:$P$106,MATCH('Remediation Tracker'!M50,'Evidence Tracker'!$E$7:$E$106,0))))&gt;0,COUNTIFS('Evidence Tracker'!$E$7:$E$106,'Remediation Tracker'!M50,'Evidence Tracker'!$F$7:$F$106,'Remediation Tracker'!F50,'Evidence Tracker'!$N$7:$N$106,"Reviewed",'Evidence Tracker'!$Q$7:$Q$106,"Validated",'Evidence Tracker'!$M$7:$M$106,"&gt;0",'Evidence Tracker'!$M$7:$M$106,"&lt;="&amp;TODAY())=1),FALSE))),0,IFERROR(INDEX('Risk Register'!$M$7:$M$106,MATCH('Remediation Tracker'!F50,'Risk Register'!$E$7:$E$106,0)),0)*10000+IF(AND(ISNUMBER('Remediation Tracker'!K50),'Remediation Tracker'!K50&lt;TODAY(),'Remediation Tracker'!J50&lt;&gt;"Completed"),1000,0)+107-ROW('Remediation Tracker'!E50))</f>
        <v>0</v>
      </c>
    </row>
    <row r="74" spans="1:31" ht="24.95" customHeight="1">
      <c r="A74" s="31"/>
      <c r="B74" s="31"/>
      <c r="C74" s="31"/>
      <c r="D74" s="31"/>
      <c r="E74" s="9"/>
      <c r="F74" s="35" t="s">
        <v>97</v>
      </c>
      <c r="G74" s="35" t="s">
        <v>97</v>
      </c>
      <c r="H74" s="35" t="s">
        <v>97</v>
      </c>
      <c r="I74" s="35" t="s">
        <v>97</v>
      </c>
      <c r="J74" s="35" t="s">
        <v>97</v>
      </c>
      <c r="K74" s="35" t="s">
        <v>97</v>
      </c>
      <c r="L74" s="35" t="s">
        <v>97</v>
      </c>
      <c r="M74" s="35" t="s">
        <v>97</v>
      </c>
      <c r="N74" s="36">
        <f>COUNTIFS('Evidence Tracker'!$E$7:$E$106,"&lt;&gt;",'Evidence Tracker'!$N$7:$N$106,"Planned request")</f>
        <v>4</v>
      </c>
      <c r="O74" s="36"/>
      <c r="P74" s="36"/>
      <c r="Q74" s="25"/>
      <c r="R74" s="35" t="s">
        <v>57</v>
      </c>
      <c r="S74" s="35" t="s">
        <v>57</v>
      </c>
      <c r="T74" s="35" t="s">
        <v>57</v>
      </c>
      <c r="U74" s="35" t="s">
        <v>57</v>
      </c>
      <c r="V74" s="35" t="s">
        <v>57</v>
      </c>
      <c r="W74" s="35" t="s">
        <v>57</v>
      </c>
      <c r="X74" s="35" t="s">
        <v>57</v>
      </c>
      <c r="Y74" s="35" t="s">
        <v>57</v>
      </c>
      <c r="Z74" s="36">
        <f>COUNTIFS('Remediation Tracker'!$E$7:$E$106,"&lt;&gt;",'Remediation Tracker'!$J$7:$J$106,"Proposed")</f>
        <v>4</v>
      </c>
      <c r="AA74" s="36"/>
      <c r="AB74" s="36"/>
      <c r="AE74">
        <f ca="1">IF(OR('Remediation Tracker'!E51="",AND('Remediation Tracker'!I51="Approved",'Remediation Tracker'!J51="Completed",ISNUMBER('Remediation Tracker'!L51),'Remediation Tracker'!L51&gt;0,'Remediation Tracker'!L51&lt;=TODAY(),'Remediation Tracker'!N51="Validated",IFERROR(AND('Remediation Tracker'!M51&lt;&gt;"",COUNTIF('Evidence Tracker'!$E$7:$E$106,'Remediation Tracker'!M51)=1,ISNUMBER(INDEX('Evidence Tracker'!$M$7:$M$106,MATCH('Remediation Tracker'!M51,'Evidence Tracker'!$E$7:$E$106,0))),LEN(TRIM(INDEX('Evidence Tracker'!$O$7:$O$106,MATCH('Remediation Tracker'!M51,'Evidence Tracker'!$E$7:$E$106,0))))&gt;0,LEN(TRIM(INDEX('Evidence Tracker'!$P$7:$P$106,MATCH('Remediation Tracker'!M51,'Evidence Tracker'!$E$7:$E$106,0))))&gt;0,COUNTIFS('Evidence Tracker'!$E$7:$E$106,'Remediation Tracker'!M51,'Evidence Tracker'!$F$7:$F$106,'Remediation Tracker'!F51,'Evidence Tracker'!$N$7:$N$106,"Reviewed",'Evidence Tracker'!$Q$7:$Q$106,"Validated",'Evidence Tracker'!$M$7:$M$106,"&gt;0",'Evidence Tracker'!$M$7:$M$106,"&lt;="&amp;TODAY())=1),FALSE))),0,IFERROR(INDEX('Risk Register'!$M$7:$M$106,MATCH('Remediation Tracker'!F51,'Risk Register'!$E$7:$E$106,0)),0)*10000+IF(AND(ISNUMBER('Remediation Tracker'!K51),'Remediation Tracker'!K51&lt;TODAY(),'Remediation Tracker'!J51&lt;&gt;"Completed"),1000,0)+107-ROW('Remediation Tracker'!E51))</f>
        <v>0</v>
      </c>
    </row>
    <row r="75" spans="1:31" ht="24.95" customHeight="1">
      <c r="A75" s="31"/>
      <c r="B75" s="31"/>
      <c r="C75" s="31"/>
      <c r="D75" s="31"/>
      <c r="E75" s="9"/>
      <c r="F75" s="35" t="s">
        <v>18</v>
      </c>
      <c r="G75" s="35" t="s">
        <v>18</v>
      </c>
      <c r="H75" s="35" t="s">
        <v>18</v>
      </c>
      <c r="I75" s="35" t="s">
        <v>18</v>
      </c>
      <c r="J75" s="35" t="s">
        <v>18</v>
      </c>
      <c r="K75" s="35" t="s">
        <v>18</v>
      </c>
      <c r="L75" s="35" t="s">
        <v>18</v>
      </c>
      <c r="M75" s="35" t="s">
        <v>18</v>
      </c>
      <c r="N75" s="36">
        <f>COUNTIFS('Evidence Tracker'!$E$7:$E$106,"&lt;&gt;",'Evidence Tracker'!$N$7:$N$106,"Requested")</f>
        <v>0</v>
      </c>
      <c r="O75" s="36"/>
      <c r="P75" s="36"/>
      <c r="Q75" s="25"/>
      <c r="R75" s="35" t="s">
        <v>170</v>
      </c>
      <c r="S75" s="35" t="s">
        <v>170</v>
      </c>
      <c r="T75" s="35" t="s">
        <v>170</v>
      </c>
      <c r="U75" s="35" t="s">
        <v>170</v>
      </c>
      <c r="V75" s="35" t="s">
        <v>170</v>
      </c>
      <c r="W75" s="35" t="s">
        <v>170</v>
      </c>
      <c r="X75" s="35" t="s">
        <v>170</v>
      </c>
      <c r="Y75" s="35" t="s">
        <v>170</v>
      </c>
      <c r="Z75" s="36">
        <f>COUNTIFS('Remediation Tracker'!$E$7:$E$106,"&lt;&gt;",'Remediation Tracker'!$J$7:$J$106,"Open")</f>
        <v>0</v>
      </c>
      <c r="AA75" s="36"/>
      <c r="AB75" s="36"/>
      <c r="AE75">
        <f ca="1">IF(OR('Remediation Tracker'!E52="",AND('Remediation Tracker'!I52="Approved",'Remediation Tracker'!J52="Completed",ISNUMBER('Remediation Tracker'!L52),'Remediation Tracker'!L52&gt;0,'Remediation Tracker'!L52&lt;=TODAY(),'Remediation Tracker'!N52="Validated",IFERROR(AND('Remediation Tracker'!M52&lt;&gt;"",COUNTIF('Evidence Tracker'!$E$7:$E$106,'Remediation Tracker'!M52)=1,ISNUMBER(INDEX('Evidence Tracker'!$M$7:$M$106,MATCH('Remediation Tracker'!M52,'Evidence Tracker'!$E$7:$E$106,0))),LEN(TRIM(INDEX('Evidence Tracker'!$O$7:$O$106,MATCH('Remediation Tracker'!M52,'Evidence Tracker'!$E$7:$E$106,0))))&gt;0,LEN(TRIM(INDEX('Evidence Tracker'!$P$7:$P$106,MATCH('Remediation Tracker'!M52,'Evidence Tracker'!$E$7:$E$106,0))))&gt;0,COUNTIFS('Evidence Tracker'!$E$7:$E$106,'Remediation Tracker'!M52,'Evidence Tracker'!$F$7:$F$106,'Remediation Tracker'!F52,'Evidence Tracker'!$N$7:$N$106,"Reviewed",'Evidence Tracker'!$Q$7:$Q$106,"Validated",'Evidence Tracker'!$M$7:$M$106,"&gt;0",'Evidence Tracker'!$M$7:$M$106,"&lt;="&amp;TODAY())=1),FALSE))),0,IFERROR(INDEX('Risk Register'!$M$7:$M$106,MATCH('Remediation Tracker'!F52,'Risk Register'!$E$7:$E$106,0)),0)*10000+IF(AND(ISNUMBER('Remediation Tracker'!K52),'Remediation Tracker'!K52&lt;TODAY(),'Remediation Tracker'!J52&lt;&gt;"Completed"),1000,0)+107-ROW('Remediation Tracker'!E52))</f>
        <v>0</v>
      </c>
    </row>
    <row r="76" spans="1:31" ht="24.95" customHeight="1">
      <c r="A76" s="31"/>
      <c r="B76" s="31"/>
      <c r="C76" s="31"/>
      <c r="D76" s="31"/>
      <c r="E76" s="9"/>
      <c r="F76" s="35" t="s">
        <v>19</v>
      </c>
      <c r="G76" s="35" t="s">
        <v>19</v>
      </c>
      <c r="H76" s="35" t="s">
        <v>19</v>
      </c>
      <c r="I76" s="35" t="s">
        <v>19</v>
      </c>
      <c r="J76" s="35" t="s">
        <v>19</v>
      </c>
      <c r="K76" s="35" t="s">
        <v>19</v>
      </c>
      <c r="L76" s="35" t="s">
        <v>19</v>
      </c>
      <c r="M76" s="35" t="s">
        <v>19</v>
      </c>
      <c r="N76" s="36">
        <f>COUNTIFS('Evidence Tracker'!$E$7:$E$106,"&lt;&gt;",'Evidence Tracker'!$N$7:$N$106,"Received")</f>
        <v>0</v>
      </c>
      <c r="O76" s="36"/>
      <c r="P76" s="36"/>
      <c r="Q76" s="25"/>
      <c r="R76" s="35" t="s">
        <v>171</v>
      </c>
      <c r="S76" s="35" t="s">
        <v>171</v>
      </c>
      <c r="T76" s="35" t="s">
        <v>171</v>
      </c>
      <c r="U76" s="35" t="s">
        <v>171</v>
      </c>
      <c r="V76" s="35" t="s">
        <v>171</v>
      </c>
      <c r="W76" s="35" t="s">
        <v>171</v>
      </c>
      <c r="X76" s="35" t="s">
        <v>171</v>
      </c>
      <c r="Y76" s="35" t="s">
        <v>171</v>
      </c>
      <c r="Z76" s="36">
        <f>COUNTIFS('Remediation Tracker'!$E$7:$E$106,"&lt;&gt;",'Remediation Tracker'!$J$7:$J$106,"In progress")</f>
        <v>0</v>
      </c>
      <c r="AA76" s="36"/>
      <c r="AB76" s="36"/>
      <c r="AE76">
        <f ca="1">IF(OR('Remediation Tracker'!E53="",AND('Remediation Tracker'!I53="Approved",'Remediation Tracker'!J53="Completed",ISNUMBER('Remediation Tracker'!L53),'Remediation Tracker'!L53&gt;0,'Remediation Tracker'!L53&lt;=TODAY(),'Remediation Tracker'!N53="Validated",IFERROR(AND('Remediation Tracker'!M53&lt;&gt;"",COUNTIF('Evidence Tracker'!$E$7:$E$106,'Remediation Tracker'!M53)=1,ISNUMBER(INDEX('Evidence Tracker'!$M$7:$M$106,MATCH('Remediation Tracker'!M53,'Evidence Tracker'!$E$7:$E$106,0))),LEN(TRIM(INDEX('Evidence Tracker'!$O$7:$O$106,MATCH('Remediation Tracker'!M53,'Evidence Tracker'!$E$7:$E$106,0))))&gt;0,LEN(TRIM(INDEX('Evidence Tracker'!$P$7:$P$106,MATCH('Remediation Tracker'!M53,'Evidence Tracker'!$E$7:$E$106,0))))&gt;0,COUNTIFS('Evidence Tracker'!$E$7:$E$106,'Remediation Tracker'!M53,'Evidence Tracker'!$F$7:$F$106,'Remediation Tracker'!F53,'Evidence Tracker'!$N$7:$N$106,"Reviewed",'Evidence Tracker'!$Q$7:$Q$106,"Validated",'Evidence Tracker'!$M$7:$M$106,"&gt;0",'Evidence Tracker'!$M$7:$M$106,"&lt;="&amp;TODAY())=1),FALSE))),0,IFERROR(INDEX('Risk Register'!$M$7:$M$106,MATCH('Remediation Tracker'!F53,'Risk Register'!$E$7:$E$106,0)),0)*10000+IF(AND(ISNUMBER('Remediation Tracker'!K53),'Remediation Tracker'!K53&lt;TODAY(),'Remediation Tracker'!J53&lt;&gt;"Completed"),1000,0)+107-ROW('Remediation Tracker'!E53))</f>
        <v>0</v>
      </c>
    </row>
    <row r="77" spans="1:31" ht="24.95" customHeight="1">
      <c r="A77" s="31"/>
      <c r="B77" s="31"/>
      <c r="C77" s="31"/>
      <c r="D77" s="31"/>
      <c r="E77" s="9"/>
      <c r="F77" s="35" t="s">
        <v>172</v>
      </c>
      <c r="G77" s="35" t="s">
        <v>172</v>
      </c>
      <c r="H77" s="35" t="s">
        <v>172</v>
      </c>
      <c r="I77" s="35" t="s">
        <v>172</v>
      </c>
      <c r="J77" s="35" t="s">
        <v>172</v>
      </c>
      <c r="K77" s="35" t="s">
        <v>172</v>
      </c>
      <c r="L77" s="35" t="s">
        <v>172</v>
      </c>
      <c r="M77" s="35" t="s">
        <v>172</v>
      </c>
      <c r="N77" s="36">
        <f>COUNTIFS('Evidence Tracker'!$E$7:$E$106,"&lt;&gt;",'Evidence Tracker'!$N$7:$N$106,"Under review")</f>
        <v>0</v>
      </c>
      <c r="O77" s="36"/>
      <c r="P77" s="36"/>
      <c r="Q77" s="25"/>
      <c r="R77" s="35" t="s">
        <v>173</v>
      </c>
      <c r="S77" s="35" t="s">
        <v>173</v>
      </c>
      <c r="T77" s="35" t="s">
        <v>173</v>
      </c>
      <c r="U77" s="35" t="s">
        <v>173</v>
      </c>
      <c r="V77" s="35" t="s">
        <v>173</v>
      </c>
      <c r="W77" s="35" t="s">
        <v>173</v>
      </c>
      <c r="X77" s="35" t="s">
        <v>173</v>
      </c>
      <c r="Y77" s="35" t="s">
        <v>173</v>
      </c>
      <c r="Z77" s="36">
        <f>COUNTIFS('Remediation Tracker'!$E$7:$E$106,"&lt;&gt;",'Remediation Tracker'!$J$7:$J$106,"Blocked")</f>
        <v>0</v>
      </c>
      <c r="AA77" s="36"/>
      <c r="AB77" s="36"/>
      <c r="AE77">
        <f ca="1">IF(OR('Remediation Tracker'!E54="",AND('Remediation Tracker'!I54="Approved",'Remediation Tracker'!J54="Completed",ISNUMBER('Remediation Tracker'!L54),'Remediation Tracker'!L54&gt;0,'Remediation Tracker'!L54&lt;=TODAY(),'Remediation Tracker'!N54="Validated",IFERROR(AND('Remediation Tracker'!M54&lt;&gt;"",COUNTIF('Evidence Tracker'!$E$7:$E$106,'Remediation Tracker'!M54)=1,ISNUMBER(INDEX('Evidence Tracker'!$M$7:$M$106,MATCH('Remediation Tracker'!M54,'Evidence Tracker'!$E$7:$E$106,0))),LEN(TRIM(INDEX('Evidence Tracker'!$O$7:$O$106,MATCH('Remediation Tracker'!M54,'Evidence Tracker'!$E$7:$E$106,0))))&gt;0,LEN(TRIM(INDEX('Evidence Tracker'!$P$7:$P$106,MATCH('Remediation Tracker'!M54,'Evidence Tracker'!$E$7:$E$106,0))))&gt;0,COUNTIFS('Evidence Tracker'!$E$7:$E$106,'Remediation Tracker'!M54,'Evidence Tracker'!$F$7:$F$106,'Remediation Tracker'!F54,'Evidence Tracker'!$N$7:$N$106,"Reviewed",'Evidence Tracker'!$Q$7:$Q$106,"Validated",'Evidence Tracker'!$M$7:$M$106,"&gt;0",'Evidence Tracker'!$M$7:$M$106,"&lt;="&amp;TODAY())=1),FALSE))),0,IFERROR(INDEX('Risk Register'!$M$7:$M$106,MATCH('Remediation Tracker'!F54,'Risk Register'!$E$7:$E$106,0)),0)*10000+IF(AND(ISNUMBER('Remediation Tracker'!K54),'Remediation Tracker'!K54&lt;TODAY(),'Remediation Tracker'!J54&lt;&gt;"Completed"),1000,0)+107-ROW('Remediation Tracker'!E54))</f>
        <v>0</v>
      </c>
    </row>
    <row r="78" spans="1:31" ht="24.95" customHeight="1">
      <c r="A78" s="31"/>
      <c r="B78" s="31"/>
      <c r="C78" s="31"/>
      <c r="D78" s="31"/>
      <c r="E78" s="9"/>
      <c r="F78" s="35" t="s">
        <v>21</v>
      </c>
      <c r="G78" s="35" t="s">
        <v>21</v>
      </c>
      <c r="H78" s="35" t="s">
        <v>21</v>
      </c>
      <c r="I78" s="35" t="s">
        <v>21</v>
      </c>
      <c r="J78" s="35" t="s">
        <v>21</v>
      </c>
      <c r="K78" s="35" t="s">
        <v>21</v>
      </c>
      <c r="L78" s="35" t="s">
        <v>21</v>
      </c>
      <c r="M78" s="35" t="s">
        <v>21</v>
      </c>
      <c r="N78" s="36">
        <f>COUNTIFS('Evidence Tracker'!$E$7:$E$106,"&lt;&gt;",'Evidence Tracker'!$N$7:$N$106,"Reviewed")</f>
        <v>0</v>
      </c>
      <c r="O78" s="36"/>
      <c r="P78" s="36"/>
      <c r="Q78" s="25"/>
      <c r="R78" s="35" t="s">
        <v>174</v>
      </c>
      <c r="S78" s="35" t="s">
        <v>174</v>
      </c>
      <c r="T78" s="35" t="s">
        <v>174</v>
      </c>
      <c r="U78" s="35" t="s">
        <v>174</v>
      </c>
      <c r="V78" s="35" t="s">
        <v>174</v>
      </c>
      <c r="W78" s="35" t="s">
        <v>174</v>
      </c>
      <c r="X78" s="35" t="s">
        <v>174</v>
      </c>
      <c r="Y78" s="35" t="s">
        <v>174</v>
      </c>
      <c r="Z78" s="36">
        <f>COUNTIFS('Remediation Tracker'!$E$7:$E$106,"&lt;&gt;",'Remediation Tracker'!$J$7:$J$106,"Completed")</f>
        <v>0</v>
      </c>
      <c r="AA78" s="36"/>
      <c r="AB78" s="36"/>
      <c r="AE78">
        <f ca="1">IF(OR('Remediation Tracker'!E55="",AND('Remediation Tracker'!I55="Approved",'Remediation Tracker'!J55="Completed",ISNUMBER('Remediation Tracker'!L55),'Remediation Tracker'!L55&gt;0,'Remediation Tracker'!L55&lt;=TODAY(),'Remediation Tracker'!N55="Validated",IFERROR(AND('Remediation Tracker'!M55&lt;&gt;"",COUNTIF('Evidence Tracker'!$E$7:$E$106,'Remediation Tracker'!M55)=1,ISNUMBER(INDEX('Evidence Tracker'!$M$7:$M$106,MATCH('Remediation Tracker'!M55,'Evidence Tracker'!$E$7:$E$106,0))),LEN(TRIM(INDEX('Evidence Tracker'!$O$7:$O$106,MATCH('Remediation Tracker'!M55,'Evidence Tracker'!$E$7:$E$106,0))))&gt;0,LEN(TRIM(INDEX('Evidence Tracker'!$P$7:$P$106,MATCH('Remediation Tracker'!M55,'Evidence Tracker'!$E$7:$E$106,0))))&gt;0,COUNTIFS('Evidence Tracker'!$E$7:$E$106,'Remediation Tracker'!M55,'Evidence Tracker'!$F$7:$F$106,'Remediation Tracker'!F55,'Evidence Tracker'!$N$7:$N$106,"Reviewed",'Evidence Tracker'!$Q$7:$Q$106,"Validated",'Evidence Tracker'!$M$7:$M$106,"&gt;0",'Evidence Tracker'!$M$7:$M$106,"&lt;="&amp;TODAY())=1),FALSE))),0,IFERROR(INDEX('Risk Register'!$M$7:$M$106,MATCH('Remediation Tracker'!F55,'Risk Register'!$E$7:$E$106,0)),0)*10000+IF(AND(ISNUMBER('Remediation Tracker'!K55),'Remediation Tracker'!K55&lt;TODAY(),'Remediation Tracker'!J55&lt;&gt;"Completed"),1000,0)+107-ROW('Remediation Tracker'!E55))</f>
        <v>0</v>
      </c>
    </row>
    <row r="79" spans="1:31" ht="24.95" customHeight="1">
      <c r="A79" s="31"/>
      <c r="B79" s="31"/>
      <c r="C79" s="31"/>
      <c r="D79" s="31"/>
      <c r="E79" s="9"/>
      <c r="F79" s="33" t="s">
        <v>175</v>
      </c>
      <c r="G79" s="33" t="s">
        <v>175</v>
      </c>
      <c r="H79" s="33" t="s">
        <v>175</v>
      </c>
      <c r="I79" s="33" t="s">
        <v>175</v>
      </c>
      <c r="J79" s="33" t="s">
        <v>175</v>
      </c>
      <c r="K79" s="33" t="s">
        <v>175</v>
      </c>
      <c r="L79" s="33" t="s">
        <v>175</v>
      </c>
      <c r="M79" s="33" t="s">
        <v>175</v>
      </c>
      <c r="N79" s="33" t="s">
        <v>175</v>
      </c>
      <c r="O79" s="33" t="s">
        <v>175</v>
      </c>
      <c r="P79" s="33" t="s">
        <v>175</v>
      </c>
      <c r="Q79" s="25"/>
      <c r="R79" s="33" t="s">
        <v>232</v>
      </c>
      <c r="S79" s="33" t="s">
        <v>176</v>
      </c>
      <c r="T79" s="33" t="s">
        <v>176</v>
      </c>
      <c r="U79" s="33" t="s">
        <v>176</v>
      </c>
      <c r="V79" s="33" t="s">
        <v>176</v>
      </c>
      <c r="W79" s="33" t="s">
        <v>176</v>
      </c>
      <c r="X79" s="33" t="s">
        <v>176</v>
      </c>
      <c r="Y79" s="33" t="s">
        <v>176</v>
      </c>
      <c r="Z79" s="33" t="s">
        <v>176</v>
      </c>
      <c r="AA79" s="33" t="s">
        <v>176</v>
      </c>
      <c r="AB79" s="33" t="s">
        <v>176</v>
      </c>
      <c r="AE79">
        <f ca="1">IF(OR('Remediation Tracker'!E56="",AND('Remediation Tracker'!I56="Approved",'Remediation Tracker'!J56="Completed",ISNUMBER('Remediation Tracker'!L56),'Remediation Tracker'!L56&gt;0,'Remediation Tracker'!L56&lt;=TODAY(),'Remediation Tracker'!N56="Validated",IFERROR(AND('Remediation Tracker'!M56&lt;&gt;"",COUNTIF('Evidence Tracker'!$E$7:$E$106,'Remediation Tracker'!M56)=1,ISNUMBER(INDEX('Evidence Tracker'!$M$7:$M$106,MATCH('Remediation Tracker'!M56,'Evidence Tracker'!$E$7:$E$106,0))),LEN(TRIM(INDEX('Evidence Tracker'!$O$7:$O$106,MATCH('Remediation Tracker'!M56,'Evidence Tracker'!$E$7:$E$106,0))))&gt;0,LEN(TRIM(INDEX('Evidence Tracker'!$P$7:$P$106,MATCH('Remediation Tracker'!M56,'Evidence Tracker'!$E$7:$E$106,0))))&gt;0,COUNTIFS('Evidence Tracker'!$E$7:$E$106,'Remediation Tracker'!M56,'Evidence Tracker'!$F$7:$F$106,'Remediation Tracker'!F56,'Evidence Tracker'!$N$7:$N$106,"Reviewed",'Evidence Tracker'!$Q$7:$Q$106,"Validated",'Evidence Tracker'!$M$7:$M$106,"&gt;0",'Evidence Tracker'!$M$7:$M$106,"&lt;="&amp;TODAY())=1),FALSE))),0,IFERROR(INDEX('Risk Register'!$M$7:$M$106,MATCH('Remediation Tracker'!F56,'Risk Register'!$E$7:$E$106,0)),0)*10000+IF(AND(ISNUMBER('Remediation Tracker'!K56),'Remediation Tracker'!K56&lt;TODAY(),'Remediation Tracker'!J56&lt;&gt;"Completed"),1000,0)+107-ROW('Remediation Tracker'!E56))</f>
        <v>0</v>
      </c>
    </row>
    <row r="80" spans="1:31" ht="24.95" customHeight="1">
      <c r="A80" s="31"/>
      <c r="B80" s="31"/>
      <c r="C80" s="31"/>
      <c r="D80" s="31"/>
      <c r="E80" s="9"/>
      <c r="F80" s="33" t="s">
        <v>175</v>
      </c>
      <c r="G80" s="33" t="s">
        <v>175</v>
      </c>
      <c r="H80" s="33" t="s">
        <v>175</v>
      </c>
      <c r="I80" s="33" t="s">
        <v>175</v>
      </c>
      <c r="J80" s="33" t="s">
        <v>175</v>
      </c>
      <c r="K80" s="33" t="s">
        <v>175</v>
      </c>
      <c r="L80" s="33" t="s">
        <v>175</v>
      </c>
      <c r="M80" s="33" t="s">
        <v>175</v>
      </c>
      <c r="N80" s="33" t="s">
        <v>175</v>
      </c>
      <c r="O80" s="33" t="s">
        <v>175</v>
      </c>
      <c r="P80" s="33" t="s">
        <v>175</v>
      </c>
      <c r="Q80" s="25"/>
      <c r="R80" s="33" t="s">
        <v>176</v>
      </c>
      <c r="S80" s="33" t="s">
        <v>176</v>
      </c>
      <c r="T80" s="33" t="s">
        <v>176</v>
      </c>
      <c r="U80" s="33" t="s">
        <v>176</v>
      </c>
      <c r="V80" s="33" t="s">
        <v>176</v>
      </c>
      <c r="W80" s="33" t="s">
        <v>176</v>
      </c>
      <c r="X80" s="33" t="s">
        <v>176</v>
      </c>
      <c r="Y80" s="33" t="s">
        <v>176</v>
      </c>
      <c r="Z80" s="33" t="s">
        <v>176</v>
      </c>
      <c r="AA80" s="33" t="s">
        <v>176</v>
      </c>
      <c r="AB80" s="33" t="s">
        <v>176</v>
      </c>
      <c r="AE80">
        <f ca="1">IF(OR('Remediation Tracker'!E57="",AND('Remediation Tracker'!I57="Approved",'Remediation Tracker'!J57="Completed",ISNUMBER('Remediation Tracker'!L57),'Remediation Tracker'!L57&gt;0,'Remediation Tracker'!L57&lt;=TODAY(),'Remediation Tracker'!N57="Validated",IFERROR(AND('Remediation Tracker'!M57&lt;&gt;"",COUNTIF('Evidence Tracker'!$E$7:$E$106,'Remediation Tracker'!M57)=1,ISNUMBER(INDEX('Evidence Tracker'!$M$7:$M$106,MATCH('Remediation Tracker'!M57,'Evidence Tracker'!$E$7:$E$106,0))),LEN(TRIM(INDEX('Evidence Tracker'!$O$7:$O$106,MATCH('Remediation Tracker'!M57,'Evidence Tracker'!$E$7:$E$106,0))))&gt;0,LEN(TRIM(INDEX('Evidence Tracker'!$P$7:$P$106,MATCH('Remediation Tracker'!M57,'Evidence Tracker'!$E$7:$E$106,0))))&gt;0,COUNTIFS('Evidence Tracker'!$E$7:$E$106,'Remediation Tracker'!M57,'Evidence Tracker'!$F$7:$F$106,'Remediation Tracker'!F57,'Evidence Tracker'!$N$7:$N$106,"Reviewed",'Evidence Tracker'!$Q$7:$Q$106,"Validated",'Evidence Tracker'!$M$7:$M$106,"&gt;0",'Evidence Tracker'!$M$7:$M$106,"&lt;="&amp;TODAY())=1),FALSE))),0,IFERROR(INDEX('Risk Register'!$M$7:$M$106,MATCH('Remediation Tracker'!F57,'Risk Register'!$E$7:$E$106,0)),0)*10000+IF(AND(ISNUMBER('Remediation Tracker'!K57),'Remediation Tracker'!K57&lt;TODAY(),'Remediation Tracker'!J57&lt;&gt;"Completed"),1000,0)+107-ROW('Remediation Tracker'!E57))</f>
        <v>0</v>
      </c>
    </row>
    <row r="81" spans="1:32" ht="24.95" customHeight="1">
      <c r="A81" s="31"/>
      <c r="B81" s="31"/>
      <c r="C81" s="31"/>
      <c r="D81" s="31"/>
      <c r="E81" s="9"/>
      <c r="F81" s="25"/>
      <c r="G81" s="25"/>
      <c r="H81" s="25"/>
      <c r="I81" s="25"/>
      <c r="J81" s="25"/>
      <c r="K81" s="25"/>
      <c r="L81" s="25"/>
      <c r="M81" s="25"/>
      <c r="N81" s="25"/>
      <c r="O81" s="25"/>
      <c r="P81" s="25"/>
      <c r="Q81" s="25"/>
      <c r="R81" s="30" t="str">
        <f>"Approved actions: "&amp;COUNTIFS('Remediation Tracker'!$E$7:$E$106,"&lt;&gt;",'Remediation Tracker'!$I$7:$I$106,"Approved")&amp;" / "&amp;COUNTA('Remediation Tracker'!$E$7:$E$106)&amp;" total actions"</f>
        <v>Approved actions: 0 / 4 total actions</v>
      </c>
      <c r="S81" s="30"/>
      <c r="T81" s="30"/>
      <c r="U81" s="30"/>
      <c r="V81" s="30"/>
      <c r="W81" s="30"/>
      <c r="X81" s="30"/>
      <c r="Y81" s="30"/>
      <c r="Z81" s="30"/>
      <c r="AA81" s="30"/>
      <c r="AB81" s="30"/>
      <c r="AE81">
        <f ca="1">IF(OR('Remediation Tracker'!E58="",AND('Remediation Tracker'!I58="Approved",'Remediation Tracker'!J58="Completed",ISNUMBER('Remediation Tracker'!L58),'Remediation Tracker'!L58&gt;0,'Remediation Tracker'!L58&lt;=TODAY(),'Remediation Tracker'!N58="Validated",IFERROR(AND('Remediation Tracker'!M58&lt;&gt;"",COUNTIF('Evidence Tracker'!$E$7:$E$106,'Remediation Tracker'!M58)=1,ISNUMBER(INDEX('Evidence Tracker'!$M$7:$M$106,MATCH('Remediation Tracker'!M58,'Evidence Tracker'!$E$7:$E$106,0))),LEN(TRIM(INDEX('Evidence Tracker'!$O$7:$O$106,MATCH('Remediation Tracker'!M58,'Evidence Tracker'!$E$7:$E$106,0))))&gt;0,LEN(TRIM(INDEX('Evidence Tracker'!$P$7:$P$106,MATCH('Remediation Tracker'!M58,'Evidence Tracker'!$E$7:$E$106,0))))&gt;0,COUNTIFS('Evidence Tracker'!$E$7:$E$106,'Remediation Tracker'!M58,'Evidence Tracker'!$F$7:$F$106,'Remediation Tracker'!F58,'Evidence Tracker'!$N$7:$N$106,"Reviewed",'Evidence Tracker'!$Q$7:$Q$106,"Validated",'Evidence Tracker'!$M$7:$M$106,"&gt;0",'Evidence Tracker'!$M$7:$M$106,"&lt;="&amp;TODAY())=1),FALSE))),0,IFERROR(INDEX('Risk Register'!$M$7:$M$106,MATCH('Remediation Tracker'!F58,'Risk Register'!$E$7:$E$106,0)),0)*10000+IF(AND(ISNUMBER('Remediation Tracker'!K58),'Remediation Tracker'!K58&lt;TODAY(),'Remediation Tracker'!J58&lt;&gt;"Completed"),1000,0)+107-ROW('Remediation Tracker'!E58))</f>
        <v>0</v>
      </c>
    </row>
    <row r="82" spans="1:32" ht="24.95" customHeight="1">
      <c r="A82" s="31"/>
      <c r="B82" s="31"/>
      <c r="C82" s="31"/>
      <c r="D82" s="31"/>
      <c r="E82" s="9"/>
      <c r="F82" s="34" t="s">
        <v>177</v>
      </c>
      <c r="G82" s="34" t="s">
        <v>177</v>
      </c>
      <c r="H82" s="34" t="s">
        <v>177</v>
      </c>
      <c r="I82" s="34" t="s">
        <v>177</v>
      </c>
      <c r="J82" s="34" t="s">
        <v>177</v>
      </c>
      <c r="K82" s="34" t="s">
        <v>177</v>
      </c>
      <c r="L82" s="34" t="s">
        <v>177</v>
      </c>
      <c r="M82" s="34" t="s">
        <v>177</v>
      </c>
      <c r="N82" s="34" t="s">
        <v>177</v>
      </c>
      <c r="O82" s="34" t="s">
        <v>177</v>
      </c>
      <c r="P82" s="34" t="s">
        <v>177</v>
      </c>
      <c r="Q82" s="34" t="s">
        <v>177</v>
      </c>
      <c r="R82" s="34" t="s">
        <v>177</v>
      </c>
      <c r="S82" s="34" t="s">
        <v>177</v>
      </c>
      <c r="T82" s="34" t="s">
        <v>177</v>
      </c>
      <c r="U82" s="34" t="s">
        <v>177</v>
      </c>
      <c r="V82" s="34" t="s">
        <v>177</v>
      </c>
      <c r="W82" s="34" t="s">
        <v>177</v>
      </c>
      <c r="X82" s="34" t="s">
        <v>177</v>
      </c>
      <c r="Y82" s="34" t="s">
        <v>177</v>
      </c>
      <c r="Z82" s="34" t="s">
        <v>177</v>
      </c>
      <c r="AA82" s="34" t="s">
        <v>177</v>
      </c>
      <c r="AB82" s="34" t="s">
        <v>177</v>
      </c>
      <c r="AE82">
        <f ca="1">IF(OR('Remediation Tracker'!E59="",AND('Remediation Tracker'!I59="Approved",'Remediation Tracker'!J59="Completed",ISNUMBER('Remediation Tracker'!L59),'Remediation Tracker'!L59&gt;0,'Remediation Tracker'!L59&lt;=TODAY(),'Remediation Tracker'!N59="Validated",IFERROR(AND('Remediation Tracker'!M59&lt;&gt;"",COUNTIF('Evidence Tracker'!$E$7:$E$106,'Remediation Tracker'!M59)=1,ISNUMBER(INDEX('Evidence Tracker'!$M$7:$M$106,MATCH('Remediation Tracker'!M59,'Evidence Tracker'!$E$7:$E$106,0))),LEN(TRIM(INDEX('Evidence Tracker'!$O$7:$O$106,MATCH('Remediation Tracker'!M59,'Evidence Tracker'!$E$7:$E$106,0))))&gt;0,LEN(TRIM(INDEX('Evidence Tracker'!$P$7:$P$106,MATCH('Remediation Tracker'!M59,'Evidence Tracker'!$E$7:$E$106,0))))&gt;0,COUNTIFS('Evidence Tracker'!$E$7:$E$106,'Remediation Tracker'!M59,'Evidence Tracker'!$F$7:$F$106,'Remediation Tracker'!F59,'Evidence Tracker'!$N$7:$N$106,"Reviewed",'Evidence Tracker'!$Q$7:$Q$106,"Validated",'Evidence Tracker'!$M$7:$M$106,"&gt;0",'Evidence Tracker'!$M$7:$M$106,"&lt;="&amp;TODAY())=1),FALSE))),0,IFERROR(INDEX('Risk Register'!$M$7:$M$106,MATCH('Remediation Tracker'!F59,'Risk Register'!$E$7:$E$106,0)),0)*10000+IF(AND(ISNUMBER('Remediation Tracker'!K59),'Remediation Tracker'!K59&lt;TODAY(),'Remediation Tracker'!J59&lt;&gt;"Completed"),1000,0)+107-ROW('Remediation Tracker'!E59))</f>
        <v>0</v>
      </c>
    </row>
    <row r="83" spans="1:32" ht="24.95" customHeight="1">
      <c r="A83" s="31"/>
      <c r="B83" s="31"/>
      <c r="C83" s="31"/>
      <c r="D83" s="31"/>
      <c r="E83" s="9"/>
      <c r="F83" s="30" t="s">
        <v>178</v>
      </c>
      <c r="G83" s="30" t="s">
        <v>178</v>
      </c>
      <c r="H83" s="30" t="s">
        <v>178</v>
      </c>
      <c r="I83" s="30" t="s">
        <v>178</v>
      </c>
      <c r="J83" s="30" t="s">
        <v>178</v>
      </c>
      <c r="K83" s="30" t="s">
        <v>178</v>
      </c>
      <c r="L83" s="30" t="s">
        <v>178</v>
      </c>
      <c r="M83" s="30" t="s">
        <v>178</v>
      </c>
      <c r="N83" s="30" t="s">
        <v>178</v>
      </c>
      <c r="O83" s="30" t="s">
        <v>178</v>
      </c>
      <c r="P83" s="30" t="s">
        <v>178</v>
      </c>
      <c r="Q83" s="30" t="s">
        <v>178</v>
      </c>
      <c r="R83" s="30" t="s">
        <v>178</v>
      </c>
      <c r="S83" s="30" t="s">
        <v>178</v>
      </c>
      <c r="T83" s="30" t="s">
        <v>178</v>
      </c>
      <c r="U83" s="30" t="s">
        <v>178</v>
      </c>
      <c r="V83" s="30" t="s">
        <v>178</v>
      </c>
      <c r="W83" s="30" t="s">
        <v>178</v>
      </c>
      <c r="X83" s="30" t="s">
        <v>178</v>
      </c>
      <c r="Y83" s="30" t="s">
        <v>178</v>
      </c>
      <c r="Z83" s="30" t="s">
        <v>178</v>
      </c>
      <c r="AA83" s="30" t="s">
        <v>178</v>
      </c>
      <c r="AB83" s="30" t="s">
        <v>178</v>
      </c>
      <c r="AE83">
        <f ca="1">IF(OR('Remediation Tracker'!E60="",AND('Remediation Tracker'!I60="Approved",'Remediation Tracker'!J60="Completed",ISNUMBER('Remediation Tracker'!L60),'Remediation Tracker'!L60&gt;0,'Remediation Tracker'!L60&lt;=TODAY(),'Remediation Tracker'!N60="Validated",IFERROR(AND('Remediation Tracker'!M60&lt;&gt;"",COUNTIF('Evidence Tracker'!$E$7:$E$106,'Remediation Tracker'!M60)=1,ISNUMBER(INDEX('Evidence Tracker'!$M$7:$M$106,MATCH('Remediation Tracker'!M60,'Evidence Tracker'!$E$7:$E$106,0))),LEN(TRIM(INDEX('Evidence Tracker'!$O$7:$O$106,MATCH('Remediation Tracker'!M60,'Evidence Tracker'!$E$7:$E$106,0))))&gt;0,LEN(TRIM(INDEX('Evidence Tracker'!$P$7:$P$106,MATCH('Remediation Tracker'!M60,'Evidence Tracker'!$E$7:$E$106,0))))&gt;0,COUNTIFS('Evidence Tracker'!$E$7:$E$106,'Remediation Tracker'!M60,'Evidence Tracker'!$F$7:$F$106,'Remediation Tracker'!F60,'Evidence Tracker'!$N$7:$N$106,"Reviewed",'Evidence Tracker'!$Q$7:$Q$106,"Validated",'Evidence Tracker'!$M$7:$M$106,"&gt;0",'Evidence Tracker'!$M$7:$M$106,"&lt;="&amp;TODAY())=1),FALSE))),0,IFERROR(INDEX('Risk Register'!$M$7:$M$106,MATCH('Remediation Tracker'!F60,'Risk Register'!$E$7:$E$106,0)),0)*10000+IF(AND(ISNUMBER('Remediation Tracker'!K60),'Remediation Tracker'!K60&lt;TODAY(),'Remediation Tracker'!J60&lt;&gt;"Completed"),1000,0)+107-ROW('Remediation Tracker'!E60))</f>
        <v>0</v>
      </c>
    </row>
    <row r="84" spans="1:32" ht="24.95" customHeight="1">
      <c r="A84" s="31"/>
      <c r="B84" s="31"/>
      <c r="C84" s="31"/>
      <c r="D84" s="31"/>
      <c r="E84" s="9"/>
      <c r="F84" s="29" t="s">
        <v>179</v>
      </c>
      <c r="G84" s="29" t="s">
        <v>179</v>
      </c>
      <c r="H84" s="29" t="s">
        <v>38</v>
      </c>
      <c r="I84" s="29" t="s">
        <v>38</v>
      </c>
      <c r="J84" s="29" t="s">
        <v>38</v>
      </c>
      <c r="K84" s="29" t="s">
        <v>38</v>
      </c>
      <c r="L84" s="29" t="s">
        <v>38</v>
      </c>
      <c r="M84" s="29" t="s">
        <v>180</v>
      </c>
      <c r="N84" s="29" t="s">
        <v>180</v>
      </c>
      <c r="O84" s="29" t="s">
        <v>181</v>
      </c>
      <c r="P84" s="29" t="s">
        <v>181</v>
      </c>
      <c r="Q84" s="29" t="s">
        <v>181</v>
      </c>
      <c r="R84" s="29" t="s">
        <v>181</v>
      </c>
      <c r="S84" s="29" t="s">
        <v>182</v>
      </c>
      <c r="T84" s="29" t="s">
        <v>182</v>
      </c>
      <c r="U84" s="29" t="s">
        <v>182</v>
      </c>
      <c r="V84" s="29" t="s">
        <v>106</v>
      </c>
      <c r="W84" s="29" t="s">
        <v>106</v>
      </c>
      <c r="X84" s="29" t="s">
        <v>106</v>
      </c>
      <c r="Y84" s="29" t="s">
        <v>183</v>
      </c>
      <c r="Z84" s="29" t="s">
        <v>183</v>
      </c>
      <c r="AA84" s="29" t="s">
        <v>183</v>
      </c>
      <c r="AB84" s="29" t="s">
        <v>183</v>
      </c>
      <c r="AE84">
        <f ca="1">IF(OR('Remediation Tracker'!E61="",AND('Remediation Tracker'!I61="Approved",'Remediation Tracker'!J61="Completed",ISNUMBER('Remediation Tracker'!L61),'Remediation Tracker'!L61&gt;0,'Remediation Tracker'!L61&lt;=TODAY(),'Remediation Tracker'!N61="Validated",IFERROR(AND('Remediation Tracker'!M61&lt;&gt;"",COUNTIF('Evidence Tracker'!$E$7:$E$106,'Remediation Tracker'!M61)=1,ISNUMBER(INDEX('Evidence Tracker'!$M$7:$M$106,MATCH('Remediation Tracker'!M61,'Evidence Tracker'!$E$7:$E$106,0))),LEN(TRIM(INDEX('Evidence Tracker'!$O$7:$O$106,MATCH('Remediation Tracker'!M61,'Evidence Tracker'!$E$7:$E$106,0))))&gt;0,LEN(TRIM(INDEX('Evidence Tracker'!$P$7:$P$106,MATCH('Remediation Tracker'!M61,'Evidence Tracker'!$E$7:$E$106,0))))&gt;0,COUNTIFS('Evidence Tracker'!$E$7:$E$106,'Remediation Tracker'!M61,'Evidence Tracker'!$F$7:$F$106,'Remediation Tracker'!F61,'Evidence Tracker'!$N$7:$N$106,"Reviewed",'Evidence Tracker'!$Q$7:$Q$106,"Validated",'Evidence Tracker'!$M$7:$M$106,"&gt;0",'Evidence Tracker'!$M$7:$M$106,"&lt;="&amp;TODAY())=1),FALSE))),0,IFERROR(INDEX('Risk Register'!$M$7:$M$106,MATCH('Remediation Tracker'!F61,'Risk Register'!$E$7:$E$106,0)),0)*10000+IF(AND(ISNUMBER('Remediation Tracker'!K61),'Remediation Tracker'!K61&lt;TODAY(),'Remediation Tracker'!J61&lt;&gt;"Completed"),1000,0)+107-ROW('Remediation Tracker'!E61))</f>
        <v>0</v>
      </c>
    </row>
    <row r="85" spans="1:32" ht="36" customHeight="1">
      <c r="A85" s="31"/>
      <c r="B85" s="31"/>
      <c r="C85" s="31"/>
      <c r="D85" s="31"/>
      <c r="E85" s="9"/>
      <c r="F85" s="32" t="str">
        <f ca="1">IF($AF85=0,"",INDEX('Remediation Tracker'!$E$7:$E$106,$AF85)&amp;" / "&amp;INDEX('Remediation Tracker'!$F$7:$F$106,$AF85))</f>
        <v>A-001 / R-001</v>
      </c>
      <c r="G85" s="32"/>
      <c r="H85" s="32" t="str">
        <f ca="1">IF($AF85=0,"",INDEX('Remediation Tracker'!$H$7:$H$106,$AF85))</f>
        <v>Security owner - proposed</v>
      </c>
      <c r="I85" s="32"/>
      <c r="J85" s="32"/>
      <c r="K85" s="32"/>
      <c r="L85" s="32"/>
      <c r="M85" s="32">
        <f ca="1">IF($AF85=0,"",IFERROR(INDEX('Risk Register'!$M$7:$M$106,MATCH(INDEX('Remediation Tracker'!$F$7:$F$106,$AF85),'Risk Register'!$E$7:$E$106,0)),"Not scored"))</f>
        <v>12</v>
      </c>
      <c r="N85" s="32"/>
      <c r="O85" s="32" t="str">
        <f ca="1">IF($AF85=0,"",INDEX('Remediation Tracker'!$I$7:$I$106,$AF85))</f>
        <v>Pending approval</v>
      </c>
      <c r="P85" s="32"/>
      <c r="Q85" s="32"/>
      <c r="R85" s="32"/>
      <c r="S85" s="32" t="str">
        <f ca="1">IF($AF85=0,"",INDEX('Remediation Tracker'!$J$7:$J$106,$AF85))</f>
        <v>Proposed</v>
      </c>
      <c r="T85" s="32"/>
      <c r="U85" s="32"/>
      <c r="V85" s="32" t="str">
        <f ca="1">IF($AF85=0,"",IF(ISNUMBER(INDEX('Remediation Tracker'!$K$7:$K$106,$AF85)),TEXT(INDEX('Remediation Tracker'!$K$7:$K$106,$AF85),"mmm d, yyyy"),"Not scheduled"))</f>
        <v>Not scheduled</v>
      </c>
      <c r="W85" s="32"/>
      <c r="X85" s="32"/>
      <c r="Y85" s="32" t="str">
        <f ca="1">IF($AF85=0,"",IF(INDEX('Remediation Tracker'!$I$7:$I$106,$AF85)&lt;&gt;"Approved","Obtain approval",IF(INDEX('Remediation Tracker'!$J$7:$J$106,$AF85)="Completed",IF(INDEX('Remediation Tracker'!$L$7:$L$106,$AF85)=0,"Record completion date",IF(INDEX('Remediation Tracker'!$M$7:$M$106,$AF85)="","Link closure evidence","Review evidence / validate closure")),IF(INDEX('Remediation Tracker'!$K$7:$K$106,$AF85)=0,"Set target date","Implement and verify"))))</f>
        <v>Obtain approval</v>
      </c>
      <c r="Z85" s="32"/>
      <c r="AA85" s="32"/>
      <c r="AB85" s="32"/>
      <c r="AE85">
        <f ca="1">IF(OR('Remediation Tracker'!E62="",AND('Remediation Tracker'!I62="Approved",'Remediation Tracker'!J62="Completed",ISNUMBER('Remediation Tracker'!L62),'Remediation Tracker'!L62&gt;0,'Remediation Tracker'!L62&lt;=TODAY(),'Remediation Tracker'!N62="Validated",IFERROR(AND('Remediation Tracker'!M62&lt;&gt;"",COUNTIF('Evidence Tracker'!$E$7:$E$106,'Remediation Tracker'!M62)=1,ISNUMBER(INDEX('Evidence Tracker'!$M$7:$M$106,MATCH('Remediation Tracker'!M62,'Evidence Tracker'!$E$7:$E$106,0))),LEN(TRIM(INDEX('Evidence Tracker'!$O$7:$O$106,MATCH('Remediation Tracker'!M62,'Evidence Tracker'!$E$7:$E$106,0))))&gt;0,LEN(TRIM(INDEX('Evidence Tracker'!$P$7:$P$106,MATCH('Remediation Tracker'!M62,'Evidence Tracker'!$E$7:$E$106,0))))&gt;0,COUNTIFS('Evidence Tracker'!$E$7:$E$106,'Remediation Tracker'!M62,'Evidence Tracker'!$F$7:$F$106,'Remediation Tracker'!F62,'Evidence Tracker'!$N$7:$N$106,"Reviewed",'Evidence Tracker'!$Q$7:$Q$106,"Validated",'Evidence Tracker'!$M$7:$M$106,"&gt;0",'Evidence Tracker'!$M$7:$M$106,"&lt;="&amp;TODAY())=1),FALSE))),0,IFERROR(INDEX('Risk Register'!$M$7:$M$106,MATCH('Remediation Tracker'!F62,'Risk Register'!$E$7:$E$106,0)),0)*10000+IF(AND(ISNUMBER('Remediation Tracker'!K62),'Remediation Tracker'!K62&lt;TODAY(),'Remediation Tracker'!J62&lt;&gt;"Completed"),1000,0)+107-ROW('Remediation Tracker'!E62))</f>
        <v>0</v>
      </c>
      <c r="AF85">
        <f ca="1">IF(LARGE($AE$30:$AE$129,1)=0,0,MATCH(LARGE($AE$30:$AE$129,1),$AE$30:$AE$129,0))</f>
        <v>1</v>
      </c>
    </row>
    <row r="86" spans="1:32" ht="36" customHeight="1">
      <c r="A86" s="31"/>
      <c r="B86" s="31"/>
      <c r="C86" s="31"/>
      <c r="D86" s="31"/>
      <c r="E86" s="9"/>
      <c r="F86" s="29" t="str">
        <f ca="1">IF($AF86=0,"",INDEX('Remediation Tracker'!$E$7:$E$106,$AF86)&amp;" / "&amp;INDEX('Remediation Tracker'!$F$7:$F$106,$AF86))</f>
        <v>A-002 / R-002</v>
      </c>
      <c r="G86" s="29"/>
      <c r="H86" s="29" t="str">
        <f ca="1">IF($AF86=0,"",INDEX('Remediation Tracker'!$H$7:$H$106,$AF86))</f>
        <v>IT / IAM Administrator - proposed</v>
      </c>
      <c r="I86" s="29"/>
      <c r="J86" s="29"/>
      <c r="K86" s="29"/>
      <c r="L86" s="29"/>
      <c r="M86" s="29">
        <f ca="1">IF($AF86=0,"",IFERROR(INDEX('Risk Register'!$M$7:$M$106,MATCH(INDEX('Remediation Tracker'!$F$7:$F$106,$AF86),'Risk Register'!$E$7:$E$106,0)),"Not scored"))</f>
        <v>12</v>
      </c>
      <c r="N86" s="29"/>
      <c r="O86" s="29" t="str">
        <f ca="1">IF($AF86=0,"",INDEX('Remediation Tracker'!$I$7:$I$106,$AF86))</f>
        <v>Pending approval</v>
      </c>
      <c r="P86" s="29"/>
      <c r="Q86" s="29"/>
      <c r="R86" s="29"/>
      <c r="S86" s="29" t="str">
        <f ca="1">IF($AF86=0,"",INDEX('Remediation Tracker'!$J$7:$J$106,$AF86))</f>
        <v>Proposed</v>
      </c>
      <c r="T86" s="29"/>
      <c r="U86" s="29"/>
      <c r="V86" s="29" t="str">
        <f ca="1">IF($AF86=0,"",IF(ISNUMBER(INDEX('Remediation Tracker'!$K$7:$K$106,$AF86)),TEXT(INDEX('Remediation Tracker'!$K$7:$K$106,$AF86),"mmm d, yyyy"),"Not scheduled"))</f>
        <v>Not scheduled</v>
      </c>
      <c r="W86" s="29"/>
      <c r="X86" s="29"/>
      <c r="Y86" s="29" t="str">
        <f ca="1">IF($AF86=0,"",IF(INDEX('Remediation Tracker'!$I$7:$I$106,$AF86)&lt;&gt;"Approved","Obtain approval",IF(INDEX('Remediation Tracker'!$J$7:$J$106,$AF86)="Completed",IF(INDEX('Remediation Tracker'!$L$7:$L$106,$AF86)=0,"Record completion date",IF(INDEX('Remediation Tracker'!$M$7:$M$106,$AF86)="","Link closure evidence","Review evidence / validate closure")),IF(INDEX('Remediation Tracker'!$K$7:$K$106,$AF86)=0,"Set target date","Implement and verify"))))</f>
        <v>Obtain approval</v>
      </c>
      <c r="Z86" s="29"/>
      <c r="AA86" s="29"/>
      <c r="AB86" s="29"/>
      <c r="AE86">
        <f ca="1">IF(OR('Remediation Tracker'!E63="",AND('Remediation Tracker'!I63="Approved",'Remediation Tracker'!J63="Completed",ISNUMBER('Remediation Tracker'!L63),'Remediation Tracker'!L63&gt;0,'Remediation Tracker'!L63&lt;=TODAY(),'Remediation Tracker'!N63="Validated",IFERROR(AND('Remediation Tracker'!M63&lt;&gt;"",COUNTIF('Evidence Tracker'!$E$7:$E$106,'Remediation Tracker'!M63)=1,ISNUMBER(INDEX('Evidence Tracker'!$M$7:$M$106,MATCH('Remediation Tracker'!M63,'Evidence Tracker'!$E$7:$E$106,0))),LEN(TRIM(INDEX('Evidence Tracker'!$O$7:$O$106,MATCH('Remediation Tracker'!M63,'Evidence Tracker'!$E$7:$E$106,0))))&gt;0,LEN(TRIM(INDEX('Evidence Tracker'!$P$7:$P$106,MATCH('Remediation Tracker'!M63,'Evidence Tracker'!$E$7:$E$106,0))))&gt;0,COUNTIFS('Evidence Tracker'!$E$7:$E$106,'Remediation Tracker'!M63,'Evidence Tracker'!$F$7:$F$106,'Remediation Tracker'!F63,'Evidence Tracker'!$N$7:$N$106,"Reviewed",'Evidence Tracker'!$Q$7:$Q$106,"Validated",'Evidence Tracker'!$M$7:$M$106,"&gt;0",'Evidence Tracker'!$M$7:$M$106,"&lt;="&amp;TODAY())=1),FALSE))),0,IFERROR(INDEX('Risk Register'!$M$7:$M$106,MATCH('Remediation Tracker'!F63,'Risk Register'!$E$7:$E$106,0)),0)*10000+IF(AND(ISNUMBER('Remediation Tracker'!K63),'Remediation Tracker'!K63&lt;TODAY(),'Remediation Tracker'!J63&lt;&gt;"Completed"),1000,0)+107-ROW('Remediation Tracker'!E63))</f>
        <v>0</v>
      </c>
      <c r="AF86">
        <f ca="1">IF(LARGE($AE$30:$AE$129,2)=0,0,MATCH(LARGE($AE$30:$AE$129,2),$AE$30:$AE$129,0))</f>
        <v>2</v>
      </c>
    </row>
    <row r="87" spans="1:32" ht="36" customHeight="1">
      <c r="A87" s="31"/>
      <c r="B87" s="31"/>
      <c r="C87" s="31"/>
      <c r="D87" s="31"/>
      <c r="E87" s="9"/>
      <c r="F87" s="32" t="str">
        <f ca="1">IF($AF87=0,"",INDEX('Remediation Tracker'!$E$7:$E$106,$AF87)&amp;" / "&amp;INDEX('Remediation Tracker'!$F$7:$F$106,$AF87))</f>
        <v>A-003 / R-003</v>
      </c>
      <c r="G87" s="32"/>
      <c r="H87" s="32" t="str">
        <f ca="1">IF($AF87=0,"",INDEX('Remediation Tracker'!$H$7:$H$106,$AF87))</f>
        <v>Sentinel IAM Administrator - proposed</v>
      </c>
      <c r="I87" s="32"/>
      <c r="J87" s="32"/>
      <c r="K87" s="32"/>
      <c r="L87" s="32"/>
      <c r="M87" s="32">
        <f ca="1">IF($AF87=0,"",IFERROR(INDEX('Risk Register'!$M$7:$M$106,MATCH(INDEX('Remediation Tracker'!$F$7:$F$106,$AF87),'Risk Register'!$E$7:$E$106,0)),"Not scored"))</f>
        <v>12</v>
      </c>
      <c r="N87" s="32"/>
      <c r="O87" s="32" t="str">
        <f ca="1">IF($AF87=0,"",INDEX('Remediation Tracker'!$I$7:$I$106,$AF87))</f>
        <v>Pending approval</v>
      </c>
      <c r="P87" s="32"/>
      <c r="Q87" s="32"/>
      <c r="R87" s="32"/>
      <c r="S87" s="32" t="str">
        <f ca="1">IF($AF87=0,"",INDEX('Remediation Tracker'!$J$7:$J$106,$AF87))</f>
        <v>Proposed</v>
      </c>
      <c r="T87" s="32"/>
      <c r="U87" s="32"/>
      <c r="V87" s="32" t="str">
        <f ca="1">IF($AF87=0,"",IF(ISNUMBER(INDEX('Remediation Tracker'!$K$7:$K$106,$AF87)),TEXT(INDEX('Remediation Tracker'!$K$7:$K$106,$AF87),"mmm d, yyyy"),"Not scheduled"))</f>
        <v>Not scheduled</v>
      </c>
      <c r="W87" s="32"/>
      <c r="X87" s="32"/>
      <c r="Y87" s="32" t="str">
        <f ca="1">IF($AF87=0,"",IF(INDEX('Remediation Tracker'!$I$7:$I$106,$AF87)&lt;&gt;"Approved","Obtain approval",IF(INDEX('Remediation Tracker'!$J$7:$J$106,$AF87)="Completed",IF(INDEX('Remediation Tracker'!$L$7:$L$106,$AF87)=0,"Record completion date",IF(INDEX('Remediation Tracker'!$M$7:$M$106,$AF87)="","Link closure evidence","Review evidence / validate closure")),IF(INDEX('Remediation Tracker'!$K$7:$K$106,$AF87)=0,"Set target date","Implement and verify"))))</f>
        <v>Obtain approval</v>
      </c>
      <c r="Z87" s="32"/>
      <c r="AA87" s="32"/>
      <c r="AB87" s="32"/>
      <c r="AE87">
        <f ca="1">IF(OR('Remediation Tracker'!E64="",AND('Remediation Tracker'!I64="Approved",'Remediation Tracker'!J64="Completed",ISNUMBER('Remediation Tracker'!L64),'Remediation Tracker'!L64&gt;0,'Remediation Tracker'!L64&lt;=TODAY(),'Remediation Tracker'!N64="Validated",IFERROR(AND('Remediation Tracker'!M64&lt;&gt;"",COUNTIF('Evidence Tracker'!$E$7:$E$106,'Remediation Tracker'!M64)=1,ISNUMBER(INDEX('Evidence Tracker'!$M$7:$M$106,MATCH('Remediation Tracker'!M64,'Evidence Tracker'!$E$7:$E$106,0))),LEN(TRIM(INDEX('Evidence Tracker'!$O$7:$O$106,MATCH('Remediation Tracker'!M64,'Evidence Tracker'!$E$7:$E$106,0))))&gt;0,LEN(TRIM(INDEX('Evidence Tracker'!$P$7:$P$106,MATCH('Remediation Tracker'!M64,'Evidence Tracker'!$E$7:$E$106,0))))&gt;0,COUNTIFS('Evidence Tracker'!$E$7:$E$106,'Remediation Tracker'!M64,'Evidence Tracker'!$F$7:$F$106,'Remediation Tracker'!F64,'Evidence Tracker'!$N$7:$N$106,"Reviewed",'Evidence Tracker'!$Q$7:$Q$106,"Validated",'Evidence Tracker'!$M$7:$M$106,"&gt;0",'Evidence Tracker'!$M$7:$M$106,"&lt;="&amp;TODAY())=1),FALSE))),0,IFERROR(INDEX('Risk Register'!$M$7:$M$106,MATCH('Remediation Tracker'!F64,'Risk Register'!$E$7:$E$106,0)),0)*10000+IF(AND(ISNUMBER('Remediation Tracker'!K64),'Remediation Tracker'!K64&lt;TODAY(),'Remediation Tracker'!J64&lt;&gt;"Completed"),1000,0)+107-ROW('Remediation Tracker'!E64))</f>
        <v>0</v>
      </c>
      <c r="AF87">
        <f ca="1">IF(LARGE($AE$30:$AE$129,3)=0,0,MATCH(LARGE($AE$30:$AE$129,3),$AE$30:$AE$129,0))</f>
        <v>3</v>
      </c>
    </row>
    <row r="88" spans="1:32" ht="36" customHeight="1">
      <c r="A88" s="31"/>
      <c r="B88" s="31"/>
      <c r="C88" s="31"/>
      <c r="D88" s="31"/>
      <c r="E88" s="9"/>
      <c r="F88" s="29" t="str">
        <f ca="1">IF($AF88=0,"",INDEX('Remediation Tracker'!$E$7:$E$106,$AF88)&amp;" / "&amp;INDEX('Remediation Tracker'!$F$7:$F$106,$AF88))</f>
        <v>A-004 / R-004</v>
      </c>
      <c r="G88" s="29"/>
      <c r="H88" s="29" t="str">
        <f ca="1">IF($AF88=0,"",INDEX('Remediation Tracker'!$H$7:$H$106,$AF88))</f>
        <v>IT Security Manager - Proposed</v>
      </c>
      <c r="I88" s="29"/>
      <c r="J88" s="29"/>
      <c r="K88" s="29"/>
      <c r="L88" s="29"/>
      <c r="M88" s="29">
        <f ca="1">IF($AF88=0,"",IFERROR(INDEX('Risk Register'!$M$7:$M$106,MATCH(INDEX('Remediation Tracker'!$F$7:$F$106,$AF88),'Risk Register'!$E$7:$E$106,0)),"Not scored"))</f>
        <v>12</v>
      </c>
      <c r="N88" s="29"/>
      <c r="O88" s="29" t="str">
        <f ca="1">IF($AF88=0,"",INDEX('Remediation Tracker'!$I$7:$I$106,$AF88))</f>
        <v>Pending approval</v>
      </c>
      <c r="P88" s="29"/>
      <c r="Q88" s="29"/>
      <c r="R88" s="29"/>
      <c r="S88" s="29" t="str">
        <f ca="1">IF($AF88=0,"",INDEX('Remediation Tracker'!$J$7:$J$106,$AF88))</f>
        <v>Proposed</v>
      </c>
      <c r="T88" s="29"/>
      <c r="U88" s="29"/>
      <c r="V88" s="29" t="str">
        <f ca="1">IF($AF88=0,"",IF(ISNUMBER(INDEX('Remediation Tracker'!$K$7:$K$106,$AF88)),TEXT(INDEX('Remediation Tracker'!$K$7:$K$106,$AF88),"mmm d, yyyy"),"Not scheduled"))</f>
        <v>Not scheduled</v>
      </c>
      <c r="W88" s="29"/>
      <c r="X88" s="29"/>
      <c r="Y88" s="29" t="str">
        <f ca="1">IF($AF88=0,"",IF(INDEX('Remediation Tracker'!$I$7:$I$106,$AF88)&lt;&gt;"Approved","Obtain approval",IF(INDEX('Remediation Tracker'!$J$7:$J$106,$AF88)="Completed",IF(INDEX('Remediation Tracker'!$L$7:$L$106,$AF88)=0,"Record completion date",IF(INDEX('Remediation Tracker'!$M$7:$M$106,$AF88)="","Link closure evidence","Review evidence / validate closure")),IF(INDEX('Remediation Tracker'!$K$7:$K$106,$AF88)=0,"Set target date","Implement and verify"))))</f>
        <v>Obtain approval</v>
      </c>
      <c r="Z88" s="29"/>
      <c r="AA88" s="29"/>
      <c r="AB88" s="29"/>
      <c r="AE88">
        <f ca="1">IF(OR('Remediation Tracker'!E65="",AND('Remediation Tracker'!I65="Approved",'Remediation Tracker'!J65="Completed",ISNUMBER('Remediation Tracker'!L65),'Remediation Tracker'!L65&gt;0,'Remediation Tracker'!L65&lt;=TODAY(),'Remediation Tracker'!N65="Validated",IFERROR(AND('Remediation Tracker'!M65&lt;&gt;"",COUNTIF('Evidence Tracker'!$E$7:$E$106,'Remediation Tracker'!M65)=1,ISNUMBER(INDEX('Evidence Tracker'!$M$7:$M$106,MATCH('Remediation Tracker'!M65,'Evidence Tracker'!$E$7:$E$106,0))),LEN(TRIM(INDEX('Evidence Tracker'!$O$7:$O$106,MATCH('Remediation Tracker'!M65,'Evidence Tracker'!$E$7:$E$106,0))))&gt;0,LEN(TRIM(INDEX('Evidence Tracker'!$P$7:$P$106,MATCH('Remediation Tracker'!M65,'Evidence Tracker'!$E$7:$E$106,0))))&gt;0,COUNTIFS('Evidence Tracker'!$E$7:$E$106,'Remediation Tracker'!M65,'Evidence Tracker'!$F$7:$F$106,'Remediation Tracker'!F65,'Evidence Tracker'!$N$7:$N$106,"Reviewed",'Evidence Tracker'!$Q$7:$Q$106,"Validated",'Evidence Tracker'!$M$7:$M$106,"&gt;0",'Evidence Tracker'!$M$7:$M$106,"&lt;="&amp;TODAY())=1),FALSE))),0,IFERROR(INDEX('Risk Register'!$M$7:$M$106,MATCH('Remediation Tracker'!F65,'Risk Register'!$E$7:$E$106,0)),0)*10000+IF(AND(ISNUMBER('Remediation Tracker'!K65),'Remediation Tracker'!K65&lt;TODAY(),'Remediation Tracker'!J65&lt;&gt;"Completed"),1000,0)+107-ROW('Remediation Tracker'!E65))</f>
        <v>0</v>
      </c>
      <c r="AF88">
        <f ca="1">IF(LARGE($AE$30:$AE$129,4)=0,0,MATCH(LARGE($AE$30:$AE$129,4),$AE$30:$AE$129,0))</f>
        <v>4</v>
      </c>
    </row>
    <row r="89" spans="1:32" ht="36" customHeight="1">
      <c r="A89" s="31"/>
      <c r="B89" s="31"/>
      <c r="C89" s="31"/>
      <c r="D89" s="31"/>
      <c r="E89" s="9"/>
      <c r="F89" s="32" t="str">
        <f ca="1">IF($AF89=0,"",INDEX('Remediation Tracker'!$E$7:$E$106,$AF89)&amp;" / "&amp;INDEX('Remediation Tracker'!$F$7:$F$106,$AF89))</f>
        <v/>
      </c>
      <c r="G89" s="32"/>
      <c r="H89" s="32" t="str">
        <f ca="1">IF($AF89=0,"",INDEX('Remediation Tracker'!$H$7:$H$106,$AF89))</f>
        <v/>
      </c>
      <c r="I89" s="32"/>
      <c r="J89" s="32"/>
      <c r="K89" s="32"/>
      <c r="L89" s="32"/>
      <c r="M89" s="32" t="str">
        <f ca="1">IF($AF89=0,"",IFERROR(INDEX('Risk Register'!$M$7:$M$106,MATCH(INDEX('Remediation Tracker'!$F$7:$F$106,$AF89),'Risk Register'!$E$7:$E$106,0)),"Not scored"))</f>
        <v/>
      </c>
      <c r="N89" s="32"/>
      <c r="O89" s="32" t="str">
        <f ca="1">IF($AF89=0,"",INDEX('Remediation Tracker'!$I$7:$I$106,$AF89))</f>
        <v/>
      </c>
      <c r="P89" s="32"/>
      <c r="Q89" s="32"/>
      <c r="R89" s="32"/>
      <c r="S89" s="32" t="str">
        <f ca="1">IF($AF89=0,"",INDEX('Remediation Tracker'!$J$7:$J$106,$AF89))</f>
        <v/>
      </c>
      <c r="T89" s="32"/>
      <c r="U89" s="32"/>
      <c r="V89" s="32" t="str">
        <f ca="1">IF($AF89=0,"",IF(ISNUMBER(INDEX('Remediation Tracker'!$K$7:$K$106,$AF89)),TEXT(INDEX('Remediation Tracker'!$K$7:$K$106,$AF89),"mmm d, yyyy"),"Not scheduled"))</f>
        <v/>
      </c>
      <c r="W89" s="32"/>
      <c r="X89" s="32"/>
      <c r="Y89" s="32" t="str">
        <f ca="1">IF($AF89=0,"",IF(INDEX('Remediation Tracker'!$I$7:$I$106,$AF89)&lt;&gt;"Approved","Obtain approval",IF(INDEX('Remediation Tracker'!$J$7:$J$106,$AF89)="Completed",IF(INDEX('Remediation Tracker'!$L$7:$L$106,$AF89)=0,"Record completion date",IF(INDEX('Remediation Tracker'!$M$7:$M$106,$AF89)="","Link closure evidence","Review evidence / validate closure")),IF(INDEX('Remediation Tracker'!$K$7:$K$106,$AF89)=0,"Set target date","Implement and verify"))))</f>
        <v/>
      </c>
      <c r="Z89" s="32"/>
      <c r="AA89" s="32"/>
      <c r="AB89" s="32"/>
      <c r="AE89">
        <f ca="1">IF(OR('Remediation Tracker'!E66="",AND('Remediation Tracker'!I66="Approved",'Remediation Tracker'!J66="Completed",ISNUMBER('Remediation Tracker'!L66),'Remediation Tracker'!L66&gt;0,'Remediation Tracker'!L66&lt;=TODAY(),'Remediation Tracker'!N66="Validated",IFERROR(AND('Remediation Tracker'!M66&lt;&gt;"",COUNTIF('Evidence Tracker'!$E$7:$E$106,'Remediation Tracker'!M66)=1,ISNUMBER(INDEX('Evidence Tracker'!$M$7:$M$106,MATCH('Remediation Tracker'!M66,'Evidence Tracker'!$E$7:$E$106,0))),LEN(TRIM(INDEX('Evidence Tracker'!$O$7:$O$106,MATCH('Remediation Tracker'!M66,'Evidence Tracker'!$E$7:$E$106,0))))&gt;0,LEN(TRIM(INDEX('Evidence Tracker'!$P$7:$P$106,MATCH('Remediation Tracker'!M66,'Evidence Tracker'!$E$7:$E$106,0))))&gt;0,COUNTIFS('Evidence Tracker'!$E$7:$E$106,'Remediation Tracker'!M66,'Evidence Tracker'!$F$7:$F$106,'Remediation Tracker'!F66,'Evidence Tracker'!$N$7:$N$106,"Reviewed",'Evidence Tracker'!$Q$7:$Q$106,"Validated",'Evidence Tracker'!$M$7:$M$106,"&gt;0",'Evidence Tracker'!$M$7:$M$106,"&lt;="&amp;TODAY())=1),FALSE))),0,IFERROR(INDEX('Risk Register'!$M$7:$M$106,MATCH('Remediation Tracker'!F66,'Risk Register'!$E$7:$E$106,0)),0)*10000+IF(AND(ISNUMBER('Remediation Tracker'!K66),'Remediation Tracker'!K66&lt;TODAY(),'Remediation Tracker'!J66&lt;&gt;"Completed"),1000,0)+107-ROW('Remediation Tracker'!E66))</f>
        <v>0</v>
      </c>
      <c r="AF89">
        <f ca="1">IF(LARGE($AE$30:$AE$129,5)=0,0,MATCH(LARGE($AE$30:$AE$129,5),$AE$30:$AE$129,0))</f>
        <v>0</v>
      </c>
    </row>
    <row r="90" spans="1:32" ht="36" customHeight="1">
      <c r="A90" s="31"/>
      <c r="B90" s="31"/>
      <c r="C90" s="31"/>
      <c r="D90" s="31"/>
      <c r="E90" s="9"/>
      <c r="F90" s="29" t="str">
        <f ca="1">IF($AF90=0,"",INDEX('Remediation Tracker'!$E$7:$E$106,$AF90)&amp;" / "&amp;INDEX('Remediation Tracker'!$F$7:$F$106,$AF90))</f>
        <v/>
      </c>
      <c r="G90" s="29"/>
      <c r="H90" s="29" t="str">
        <f ca="1">IF($AF90=0,"",INDEX('Remediation Tracker'!$H$7:$H$106,$AF90))</f>
        <v/>
      </c>
      <c r="I90" s="29"/>
      <c r="J90" s="29"/>
      <c r="K90" s="29"/>
      <c r="L90" s="29"/>
      <c r="M90" s="29" t="str">
        <f ca="1">IF($AF90=0,"",IFERROR(INDEX('Risk Register'!$M$7:$M$106,MATCH(INDEX('Remediation Tracker'!$F$7:$F$106,$AF90),'Risk Register'!$E$7:$E$106,0)),"Not scored"))</f>
        <v/>
      </c>
      <c r="N90" s="29"/>
      <c r="O90" s="29" t="str">
        <f ca="1">IF($AF90=0,"",INDEX('Remediation Tracker'!$I$7:$I$106,$AF90))</f>
        <v/>
      </c>
      <c r="P90" s="29"/>
      <c r="Q90" s="29"/>
      <c r="R90" s="29"/>
      <c r="S90" s="29" t="str">
        <f ca="1">IF($AF90=0,"",INDEX('Remediation Tracker'!$J$7:$J$106,$AF90))</f>
        <v/>
      </c>
      <c r="T90" s="29"/>
      <c r="U90" s="29"/>
      <c r="V90" s="29" t="str">
        <f ca="1">IF($AF90=0,"",IF(ISNUMBER(INDEX('Remediation Tracker'!$K$7:$K$106,$AF90)),TEXT(INDEX('Remediation Tracker'!$K$7:$K$106,$AF90),"mmm d, yyyy"),"Not scheduled"))</f>
        <v/>
      </c>
      <c r="W90" s="29"/>
      <c r="X90" s="29"/>
      <c r="Y90" s="29" t="str">
        <f ca="1">IF($AF90=0,"",IF(INDEX('Remediation Tracker'!$I$7:$I$106,$AF90)&lt;&gt;"Approved","Obtain approval",IF(INDEX('Remediation Tracker'!$J$7:$J$106,$AF90)="Completed",IF(INDEX('Remediation Tracker'!$L$7:$L$106,$AF90)=0,"Record completion date",IF(INDEX('Remediation Tracker'!$M$7:$M$106,$AF90)="","Link closure evidence","Review evidence / validate closure")),IF(INDEX('Remediation Tracker'!$K$7:$K$106,$AF90)=0,"Set target date","Implement and verify"))))</f>
        <v/>
      </c>
      <c r="Z90" s="29"/>
      <c r="AA90" s="29"/>
      <c r="AB90" s="29"/>
      <c r="AE90">
        <f ca="1">IF(OR('Remediation Tracker'!E67="",AND('Remediation Tracker'!I67="Approved",'Remediation Tracker'!J67="Completed",ISNUMBER('Remediation Tracker'!L67),'Remediation Tracker'!L67&gt;0,'Remediation Tracker'!L67&lt;=TODAY(),'Remediation Tracker'!N67="Validated",IFERROR(AND('Remediation Tracker'!M67&lt;&gt;"",COUNTIF('Evidence Tracker'!$E$7:$E$106,'Remediation Tracker'!M67)=1,ISNUMBER(INDEX('Evidence Tracker'!$M$7:$M$106,MATCH('Remediation Tracker'!M67,'Evidence Tracker'!$E$7:$E$106,0))),LEN(TRIM(INDEX('Evidence Tracker'!$O$7:$O$106,MATCH('Remediation Tracker'!M67,'Evidence Tracker'!$E$7:$E$106,0))))&gt;0,LEN(TRIM(INDEX('Evidence Tracker'!$P$7:$P$106,MATCH('Remediation Tracker'!M67,'Evidence Tracker'!$E$7:$E$106,0))))&gt;0,COUNTIFS('Evidence Tracker'!$E$7:$E$106,'Remediation Tracker'!M67,'Evidence Tracker'!$F$7:$F$106,'Remediation Tracker'!F67,'Evidence Tracker'!$N$7:$N$106,"Reviewed",'Evidence Tracker'!$Q$7:$Q$106,"Validated",'Evidence Tracker'!$M$7:$M$106,"&gt;0",'Evidence Tracker'!$M$7:$M$106,"&lt;="&amp;TODAY())=1),FALSE))),0,IFERROR(INDEX('Risk Register'!$M$7:$M$106,MATCH('Remediation Tracker'!F67,'Risk Register'!$E$7:$E$106,0)),0)*10000+IF(AND(ISNUMBER('Remediation Tracker'!K67),'Remediation Tracker'!K67&lt;TODAY(),'Remediation Tracker'!J67&lt;&gt;"Completed"),1000,0)+107-ROW('Remediation Tracker'!E67))</f>
        <v>0</v>
      </c>
      <c r="AF90">
        <f ca="1">IF(LARGE($AE$30:$AE$129,6)=0,0,MATCH(LARGE($AE$30:$AE$129,6),$AE$30:$AE$129,0))</f>
        <v>0</v>
      </c>
    </row>
    <row r="91" spans="1:32" ht="36" customHeight="1">
      <c r="A91" s="31"/>
      <c r="B91" s="31"/>
      <c r="C91" s="31"/>
      <c r="D91" s="31"/>
      <c r="E91" s="9"/>
      <c r="F91" s="32" t="str">
        <f ca="1">IF($AF91=0,"",INDEX('Remediation Tracker'!$E$7:$E$106,$AF91)&amp;" / "&amp;INDEX('Remediation Tracker'!$F$7:$F$106,$AF91))</f>
        <v/>
      </c>
      <c r="G91" s="32"/>
      <c r="H91" s="32" t="str">
        <f ca="1">IF($AF91=0,"",INDEX('Remediation Tracker'!$H$7:$H$106,$AF91))</f>
        <v/>
      </c>
      <c r="I91" s="32"/>
      <c r="J91" s="32"/>
      <c r="K91" s="32"/>
      <c r="L91" s="32"/>
      <c r="M91" s="32" t="str">
        <f ca="1">IF($AF91=0,"",IFERROR(INDEX('Risk Register'!$M$7:$M$106,MATCH(INDEX('Remediation Tracker'!$F$7:$F$106,$AF91),'Risk Register'!$E$7:$E$106,0)),"Not scored"))</f>
        <v/>
      </c>
      <c r="N91" s="32"/>
      <c r="O91" s="32" t="str">
        <f ca="1">IF($AF91=0,"",INDEX('Remediation Tracker'!$I$7:$I$106,$AF91))</f>
        <v/>
      </c>
      <c r="P91" s="32"/>
      <c r="Q91" s="32"/>
      <c r="R91" s="32"/>
      <c r="S91" s="32" t="str">
        <f ca="1">IF($AF91=0,"",INDEX('Remediation Tracker'!$J$7:$J$106,$AF91))</f>
        <v/>
      </c>
      <c r="T91" s="32"/>
      <c r="U91" s="32"/>
      <c r="V91" s="32" t="str">
        <f ca="1">IF($AF91=0,"",IF(ISNUMBER(INDEX('Remediation Tracker'!$K$7:$K$106,$AF91)),TEXT(INDEX('Remediation Tracker'!$K$7:$K$106,$AF91),"mmm d, yyyy"),"Not scheduled"))</f>
        <v/>
      </c>
      <c r="W91" s="32"/>
      <c r="X91" s="32"/>
      <c r="Y91" s="32" t="str">
        <f ca="1">IF($AF91=0,"",IF(INDEX('Remediation Tracker'!$I$7:$I$106,$AF91)&lt;&gt;"Approved","Obtain approval",IF(INDEX('Remediation Tracker'!$J$7:$J$106,$AF91)="Completed",IF(INDEX('Remediation Tracker'!$L$7:$L$106,$AF91)=0,"Record completion date",IF(INDEX('Remediation Tracker'!$M$7:$M$106,$AF91)="","Link closure evidence","Review evidence / validate closure")),IF(INDEX('Remediation Tracker'!$K$7:$K$106,$AF91)=0,"Set target date","Implement and verify"))))</f>
        <v/>
      </c>
      <c r="Z91" s="32"/>
      <c r="AA91" s="32"/>
      <c r="AB91" s="32"/>
      <c r="AE91">
        <f ca="1">IF(OR('Remediation Tracker'!E68="",AND('Remediation Tracker'!I68="Approved",'Remediation Tracker'!J68="Completed",ISNUMBER('Remediation Tracker'!L68),'Remediation Tracker'!L68&gt;0,'Remediation Tracker'!L68&lt;=TODAY(),'Remediation Tracker'!N68="Validated",IFERROR(AND('Remediation Tracker'!M68&lt;&gt;"",COUNTIF('Evidence Tracker'!$E$7:$E$106,'Remediation Tracker'!M68)=1,ISNUMBER(INDEX('Evidence Tracker'!$M$7:$M$106,MATCH('Remediation Tracker'!M68,'Evidence Tracker'!$E$7:$E$106,0))),LEN(TRIM(INDEX('Evidence Tracker'!$O$7:$O$106,MATCH('Remediation Tracker'!M68,'Evidence Tracker'!$E$7:$E$106,0))))&gt;0,LEN(TRIM(INDEX('Evidence Tracker'!$P$7:$P$106,MATCH('Remediation Tracker'!M68,'Evidence Tracker'!$E$7:$E$106,0))))&gt;0,COUNTIFS('Evidence Tracker'!$E$7:$E$106,'Remediation Tracker'!M68,'Evidence Tracker'!$F$7:$F$106,'Remediation Tracker'!F68,'Evidence Tracker'!$N$7:$N$106,"Reviewed",'Evidence Tracker'!$Q$7:$Q$106,"Validated",'Evidence Tracker'!$M$7:$M$106,"&gt;0",'Evidence Tracker'!$M$7:$M$106,"&lt;="&amp;TODAY())=1),FALSE))),0,IFERROR(INDEX('Risk Register'!$M$7:$M$106,MATCH('Remediation Tracker'!F68,'Risk Register'!$E$7:$E$106,0)),0)*10000+IF(AND(ISNUMBER('Remediation Tracker'!K68),'Remediation Tracker'!K68&lt;TODAY(),'Remediation Tracker'!J68&lt;&gt;"Completed"),1000,0)+107-ROW('Remediation Tracker'!E68))</f>
        <v>0</v>
      </c>
      <c r="AF91">
        <f ca="1">IF(LARGE($AE$30:$AE$129,7)=0,0,MATCH(LARGE($AE$30:$AE$129,7),$AE$30:$AE$129,0))</f>
        <v>0</v>
      </c>
    </row>
    <row r="92" spans="1:32" ht="36" customHeight="1">
      <c r="A92" s="31"/>
      <c r="B92" s="31"/>
      <c r="C92" s="31"/>
      <c r="D92" s="31"/>
      <c r="E92" s="9"/>
      <c r="F92" s="29" t="str">
        <f ca="1">IF($AF92=0,"",INDEX('Remediation Tracker'!$E$7:$E$106,$AF92)&amp;" / "&amp;INDEX('Remediation Tracker'!$F$7:$F$106,$AF92))</f>
        <v/>
      </c>
      <c r="G92" s="29"/>
      <c r="H92" s="29" t="str">
        <f ca="1">IF($AF92=0,"",INDEX('Remediation Tracker'!$H$7:$H$106,$AF92))</f>
        <v/>
      </c>
      <c r="I92" s="29"/>
      <c r="J92" s="29"/>
      <c r="K92" s="29"/>
      <c r="L92" s="29"/>
      <c r="M92" s="29" t="str">
        <f ca="1">IF($AF92=0,"",IFERROR(INDEX('Risk Register'!$M$7:$M$106,MATCH(INDEX('Remediation Tracker'!$F$7:$F$106,$AF92),'Risk Register'!$E$7:$E$106,0)),"Not scored"))</f>
        <v/>
      </c>
      <c r="N92" s="29"/>
      <c r="O92" s="29" t="str">
        <f ca="1">IF($AF92=0,"",INDEX('Remediation Tracker'!$I$7:$I$106,$AF92))</f>
        <v/>
      </c>
      <c r="P92" s="29"/>
      <c r="Q92" s="29"/>
      <c r="R92" s="29"/>
      <c r="S92" s="29" t="str">
        <f ca="1">IF($AF92=0,"",INDEX('Remediation Tracker'!$J$7:$J$106,$AF92))</f>
        <v/>
      </c>
      <c r="T92" s="29"/>
      <c r="U92" s="29"/>
      <c r="V92" s="29" t="str">
        <f ca="1">IF($AF92=0,"",IF(ISNUMBER(INDEX('Remediation Tracker'!$K$7:$K$106,$AF92)),TEXT(INDEX('Remediation Tracker'!$K$7:$K$106,$AF92),"mmm d, yyyy"),"Not scheduled"))</f>
        <v/>
      </c>
      <c r="W92" s="29"/>
      <c r="X92" s="29"/>
      <c r="Y92" s="29" t="str">
        <f ca="1">IF($AF92=0,"",IF(INDEX('Remediation Tracker'!$I$7:$I$106,$AF92)&lt;&gt;"Approved","Obtain approval",IF(INDEX('Remediation Tracker'!$J$7:$J$106,$AF92)="Completed",IF(INDEX('Remediation Tracker'!$L$7:$L$106,$AF92)=0,"Record completion date",IF(INDEX('Remediation Tracker'!$M$7:$M$106,$AF92)="","Link closure evidence","Review evidence / validate closure")),IF(INDEX('Remediation Tracker'!$K$7:$K$106,$AF92)=0,"Set target date","Implement and verify"))))</f>
        <v/>
      </c>
      <c r="Z92" s="29"/>
      <c r="AA92" s="29"/>
      <c r="AB92" s="29"/>
      <c r="AE92">
        <f ca="1">IF(OR('Remediation Tracker'!E69="",AND('Remediation Tracker'!I69="Approved",'Remediation Tracker'!J69="Completed",ISNUMBER('Remediation Tracker'!L69),'Remediation Tracker'!L69&gt;0,'Remediation Tracker'!L69&lt;=TODAY(),'Remediation Tracker'!N69="Validated",IFERROR(AND('Remediation Tracker'!M69&lt;&gt;"",COUNTIF('Evidence Tracker'!$E$7:$E$106,'Remediation Tracker'!M69)=1,ISNUMBER(INDEX('Evidence Tracker'!$M$7:$M$106,MATCH('Remediation Tracker'!M69,'Evidence Tracker'!$E$7:$E$106,0))),LEN(TRIM(INDEX('Evidence Tracker'!$O$7:$O$106,MATCH('Remediation Tracker'!M69,'Evidence Tracker'!$E$7:$E$106,0))))&gt;0,LEN(TRIM(INDEX('Evidence Tracker'!$P$7:$P$106,MATCH('Remediation Tracker'!M69,'Evidence Tracker'!$E$7:$E$106,0))))&gt;0,COUNTIFS('Evidence Tracker'!$E$7:$E$106,'Remediation Tracker'!M69,'Evidence Tracker'!$F$7:$F$106,'Remediation Tracker'!F69,'Evidence Tracker'!$N$7:$N$106,"Reviewed",'Evidence Tracker'!$Q$7:$Q$106,"Validated",'Evidence Tracker'!$M$7:$M$106,"&gt;0",'Evidence Tracker'!$M$7:$M$106,"&lt;="&amp;TODAY())=1),FALSE))),0,IFERROR(INDEX('Risk Register'!$M$7:$M$106,MATCH('Remediation Tracker'!F69,'Risk Register'!$E$7:$E$106,0)),0)*10000+IF(AND(ISNUMBER('Remediation Tracker'!K69),'Remediation Tracker'!K69&lt;TODAY(),'Remediation Tracker'!J69&lt;&gt;"Completed"),1000,0)+107-ROW('Remediation Tracker'!E69))</f>
        <v>0</v>
      </c>
      <c r="AF92">
        <f ca="1">IF(LARGE($AE$30:$AE$129,8)=0,0,MATCH(LARGE($AE$30:$AE$129,8),$AE$30:$AE$129,0))</f>
        <v>0</v>
      </c>
    </row>
    <row r="93" spans="1:32" ht="36" customHeight="1">
      <c r="A93" s="31"/>
      <c r="B93" s="31"/>
      <c r="C93" s="31"/>
      <c r="D93" s="31"/>
      <c r="E93" s="9"/>
      <c r="F93" s="32" t="str">
        <f ca="1">IF($AF93=0,"",INDEX('Remediation Tracker'!$E$7:$E$106,$AF93)&amp;" / "&amp;INDEX('Remediation Tracker'!$F$7:$F$106,$AF93))</f>
        <v/>
      </c>
      <c r="G93" s="32"/>
      <c r="H93" s="32" t="str">
        <f ca="1">IF($AF93=0,"",INDEX('Remediation Tracker'!$H$7:$H$106,$AF93))</f>
        <v/>
      </c>
      <c r="I93" s="32"/>
      <c r="J93" s="32"/>
      <c r="K93" s="32"/>
      <c r="L93" s="32"/>
      <c r="M93" s="32" t="str">
        <f ca="1">IF($AF93=0,"",IFERROR(INDEX('Risk Register'!$M$7:$M$106,MATCH(INDEX('Remediation Tracker'!$F$7:$F$106,$AF93),'Risk Register'!$E$7:$E$106,0)),"Not scored"))</f>
        <v/>
      </c>
      <c r="N93" s="32"/>
      <c r="O93" s="32" t="str">
        <f ca="1">IF($AF93=0,"",INDEX('Remediation Tracker'!$I$7:$I$106,$AF93))</f>
        <v/>
      </c>
      <c r="P93" s="32"/>
      <c r="Q93" s="32"/>
      <c r="R93" s="32"/>
      <c r="S93" s="32" t="str">
        <f ca="1">IF($AF93=0,"",INDEX('Remediation Tracker'!$J$7:$J$106,$AF93))</f>
        <v/>
      </c>
      <c r="T93" s="32"/>
      <c r="U93" s="32"/>
      <c r="V93" s="32" t="str">
        <f ca="1">IF($AF93=0,"",IF(ISNUMBER(INDEX('Remediation Tracker'!$K$7:$K$106,$AF93)),TEXT(INDEX('Remediation Tracker'!$K$7:$K$106,$AF93),"mmm d, yyyy"),"Not scheduled"))</f>
        <v/>
      </c>
      <c r="W93" s="32"/>
      <c r="X93" s="32"/>
      <c r="Y93" s="32" t="str">
        <f ca="1">IF($AF93=0,"",IF(INDEX('Remediation Tracker'!$I$7:$I$106,$AF93)&lt;&gt;"Approved","Obtain approval",IF(INDEX('Remediation Tracker'!$J$7:$J$106,$AF93)="Completed",IF(INDEX('Remediation Tracker'!$L$7:$L$106,$AF93)=0,"Record completion date",IF(INDEX('Remediation Tracker'!$M$7:$M$106,$AF93)="","Link closure evidence","Review evidence / validate closure")),IF(INDEX('Remediation Tracker'!$K$7:$K$106,$AF93)=0,"Set target date","Implement and verify"))))</f>
        <v/>
      </c>
      <c r="Z93" s="32"/>
      <c r="AA93" s="32"/>
      <c r="AB93" s="32"/>
      <c r="AE93">
        <f ca="1">IF(OR('Remediation Tracker'!E70="",AND('Remediation Tracker'!I70="Approved",'Remediation Tracker'!J70="Completed",ISNUMBER('Remediation Tracker'!L70),'Remediation Tracker'!L70&gt;0,'Remediation Tracker'!L70&lt;=TODAY(),'Remediation Tracker'!N70="Validated",IFERROR(AND('Remediation Tracker'!M70&lt;&gt;"",COUNTIF('Evidence Tracker'!$E$7:$E$106,'Remediation Tracker'!M70)=1,ISNUMBER(INDEX('Evidence Tracker'!$M$7:$M$106,MATCH('Remediation Tracker'!M70,'Evidence Tracker'!$E$7:$E$106,0))),LEN(TRIM(INDEX('Evidence Tracker'!$O$7:$O$106,MATCH('Remediation Tracker'!M70,'Evidence Tracker'!$E$7:$E$106,0))))&gt;0,LEN(TRIM(INDEX('Evidence Tracker'!$P$7:$P$106,MATCH('Remediation Tracker'!M70,'Evidence Tracker'!$E$7:$E$106,0))))&gt;0,COUNTIFS('Evidence Tracker'!$E$7:$E$106,'Remediation Tracker'!M70,'Evidence Tracker'!$F$7:$F$106,'Remediation Tracker'!F70,'Evidence Tracker'!$N$7:$N$106,"Reviewed",'Evidence Tracker'!$Q$7:$Q$106,"Validated",'Evidence Tracker'!$M$7:$M$106,"&gt;0",'Evidence Tracker'!$M$7:$M$106,"&lt;="&amp;TODAY())=1),FALSE))),0,IFERROR(INDEX('Risk Register'!$M$7:$M$106,MATCH('Remediation Tracker'!F70,'Risk Register'!$E$7:$E$106,0)),0)*10000+IF(AND(ISNUMBER('Remediation Tracker'!K70),'Remediation Tracker'!K70&lt;TODAY(),'Remediation Tracker'!J70&lt;&gt;"Completed"),1000,0)+107-ROW('Remediation Tracker'!E70))</f>
        <v>0</v>
      </c>
      <c r="AF93">
        <f ca="1">IF(LARGE($AE$30:$AE$129,9)=0,0,MATCH(LARGE($AE$30:$AE$129,9),$AE$30:$AE$129,0))</f>
        <v>0</v>
      </c>
    </row>
    <row r="94" spans="1:32" ht="36" customHeight="1">
      <c r="A94" s="31"/>
      <c r="B94" s="31"/>
      <c r="C94" s="31"/>
      <c r="D94" s="31"/>
      <c r="E94" s="9"/>
      <c r="F94" s="29" t="str">
        <f ca="1">IF($AF94=0,"",INDEX('Remediation Tracker'!$E$7:$E$106,$AF94)&amp;" / "&amp;INDEX('Remediation Tracker'!$F$7:$F$106,$AF94))</f>
        <v/>
      </c>
      <c r="G94" s="29"/>
      <c r="H94" s="29" t="str">
        <f ca="1">IF($AF94=0,"",INDEX('Remediation Tracker'!$H$7:$H$106,$AF94))</f>
        <v/>
      </c>
      <c r="I94" s="29"/>
      <c r="J94" s="29"/>
      <c r="K94" s="29"/>
      <c r="L94" s="29"/>
      <c r="M94" s="29" t="str">
        <f ca="1">IF($AF94=0,"",IFERROR(INDEX('Risk Register'!$M$7:$M$106,MATCH(INDEX('Remediation Tracker'!$F$7:$F$106,$AF94),'Risk Register'!$E$7:$E$106,0)),"Not scored"))</f>
        <v/>
      </c>
      <c r="N94" s="29"/>
      <c r="O94" s="29" t="str">
        <f ca="1">IF($AF94=0,"",INDEX('Remediation Tracker'!$I$7:$I$106,$AF94))</f>
        <v/>
      </c>
      <c r="P94" s="29"/>
      <c r="Q94" s="29"/>
      <c r="R94" s="29"/>
      <c r="S94" s="29" t="str">
        <f ca="1">IF($AF94=0,"",INDEX('Remediation Tracker'!$J$7:$J$106,$AF94))</f>
        <v/>
      </c>
      <c r="T94" s="29"/>
      <c r="U94" s="29"/>
      <c r="V94" s="29" t="str">
        <f ca="1">IF($AF94=0,"",IF(ISNUMBER(INDEX('Remediation Tracker'!$K$7:$K$106,$AF94)),TEXT(INDEX('Remediation Tracker'!$K$7:$K$106,$AF94),"mmm d, yyyy"),"Not scheduled"))</f>
        <v/>
      </c>
      <c r="W94" s="29"/>
      <c r="X94" s="29"/>
      <c r="Y94" s="29" t="str">
        <f ca="1">IF($AF94=0,"",IF(INDEX('Remediation Tracker'!$I$7:$I$106,$AF94)&lt;&gt;"Approved","Obtain approval",IF(INDEX('Remediation Tracker'!$J$7:$J$106,$AF94)="Completed",IF(INDEX('Remediation Tracker'!$L$7:$L$106,$AF94)=0,"Record completion date",IF(INDEX('Remediation Tracker'!$M$7:$M$106,$AF94)="","Link closure evidence","Review evidence / validate closure")),IF(INDEX('Remediation Tracker'!$K$7:$K$106,$AF94)=0,"Set target date","Implement and verify"))))</f>
        <v/>
      </c>
      <c r="Z94" s="29"/>
      <c r="AA94" s="29"/>
      <c r="AB94" s="29"/>
      <c r="AE94">
        <f ca="1">IF(OR('Remediation Tracker'!E71="",AND('Remediation Tracker'!I71="Approved",'Remediation Tracker'!J71="Completed",ISNUMBER('Remediation Tracker'!L71),'Remediation Tracker'!L71&gt;0,'Remediation Tracker'!L71&lt;=TODAY(),'Remediation Tracker'!N71="Validated",IFERROR(AND('Remediation Tracker'!M71&lt;&gt;"",COUNTIF('Evidence Tracker'!$E$7:$E$106,'Remediation Tracker'!M71)=1,ISNUMBER(INDEX('Evidence Tracker'!$M$7:$M$106,MATCH('Remediation Tracker'!M71,'Evidence Tracker'!$E$7:$E$106,0))),LEN(TRIM(INDEX('Evidence Tracker'!$O$7:$O$106,MATCH('Remediation Tracker'!M71,'Evidence Tracker'!$E$7:$E$106,0))))&gt;0,LEN(TRIM(INDEX('Evidence Tracker'!$P$7:$P$106,MATCH('Remediation Tracker'!M71,'Evidence Tracker'!$E$7:$E$106,0))))&gt;0,COUNTIFS('Evidence Tracker'!$E$7:$E$106,'Remediation Tracker'!M71,'Evidence Tracker'!$F$7:$F$106,'Remediation Tracker'!F71,'Evidence Tracker'!$N$7:$N$106,"Reviewed",'Evidence Tracker'!$Q$7:$Q$106,"Validated",'Evidence Tracker'!$M$7:$M$106,"&gt;0",'Evidence Tracker'!$M$7:$M$106,"&lt;="&amp;TODAY())=1),FALSE))),0,IFERROR(INDEX('Risk Register'!$M$7:$M$106,MATCH('Remediation Tracker'!F71,'Risk Register'!$E$7:$E$106,0)),0)*10000+IF(AND(ISNUMBER('Remediation Tracker'!K71),'Remediation Tracker'!K71&lt;TODAY(),'Remediation Tracker'!J71&lt;&gt;"Completed"),1000,0)+107-ROW('Remediation Tracker'!E71))</f>
        <v>0</v>
      </c>
      <c r="AF94">
        <f ca="1">IF(LARGE($AE$30:$AE$129,10)=0,0,MATCH(LARGE($AE$30:$AE$129,10),$AE$30:$AE$129,0))</f>
        <v>0</v>
      </c>
    </row>
    <row r="95" spans="1:32" ht="24.95" customHeight="1">
      <c r="A95" s="31"/>
      <c r="B95" s="31"/>
      <c r="C95" s="31"/>
      <c r="D95" s="31"/>
      <c r="E95" s="9"/>
      <c r="F95" s="25"/>
      <c r="G95" s="25"/>
      <c r="H95" s="25"/>
      <c r="I95" s="25"/>
      <c r="J95" s="25"/>
      <c r="K95" s="25"/>
      <c r="L95" s="25"/>
      <c r="M95" s="25"/>
      <c r="N95" s="25"/>
      <c r="O95" s="25"/>
      <c r="P95" s="25"/>
      <c r="Q95" s="25"/>
      <c r="R95" s="25"/>
      <c r="S95" s="25"/>
      <c r="T95" s="25"/>
      <c r="U95" s="25"/>
      <c r="V95" s="25"/>
      <c r="W95" s="25"/>
      <c r="X95" s="25"/>
      <c r="Y95" s="25"/>
      <c r="Z95" s="25"/>
      <c r="AA95" s="25"/>
      <c r="AB95" s="25"/>
      <c r="AE95">
        <f ca="1">IF(OR('Remediation Tracker'!E72="",AND('Remediation Tracker'!I72="Approved",'Remediation Tracker'!J72="Completed",ISNUMBER('Remediation Tracker'!L72),'Remediation Tracker'!L72&gt;0,'Remediation Tracker'!L72&lt;=TODAY(),'Remediation Tracker'!N72="Validated",IFERROR(AND('Remediation Tracker'!M72&lt;&gt;"",COUNTIF('Evidence Tracker'!$E$7:$E$106,'Remediation Tracker'!M72)=1,ISNUMBER(INDEX('Evidence Tracker'!$M$7:$M$106,MATCH('Remediation Tracker'!M72,'Evidence Tracker'!$E$7:$E$106,0))),LEN(TRIM(INDEX('Evidence Tracker'!$O$7:$O$106,MATCH('Remediation Tracker'!M72,'Evidence Tracker'!$E$7:$E$106,0))))&gt;0,LEN(TRIM(INDEX('Evidence Tracker'!$P$7:$P$106,MATCH('Remediation Tracker'!M72,'Evidence Tracker'!$E$7:$E$106,0))))&gt;0,COUNTIFS('Evidence Tracker'!$E$7:$E$106,'Remediation Tracker'!M72,'Evidence Tracker'!$F$7:$F$106,'Remediation Tracker'!F72,'Evidence Tracker'!$N$7:$N$106,"Reviewed",'Evidence Tracker'!$Q$7:$Q$106,"Validated",'Evidence Tracker'!$M$7:$M$106,"&gt;0",'Evidence Tracker'!$M$7:$M$106,"&lt;="&amp;TODAY())=1),FALSE))),0,IFERROR(INDEX('Risk Register'!$M$7:$M$106,MATCH('Remediation Tracker'!F72,'Risk Register'!$E$7:$E$106,0)),0)*10000+IF(AND(ISNUMBER('Remediation Tracker'!K72),'Remediation Tracker'!K72&lt;TODAY(),'Remediation Tracker'!J72&lt;&gt;"Completed"),1000,0)+107-ROW('Remediation Tracker'!E72))</f>
        <v>0</v>
      </c>
    </row>
    <row r="96" spans="1:32" ht="24.95" customHeight="1">
      <c r="A96" s="31"/>
      <c r="B96" s="31"/>
      <c r="C96" s="31"/>
      <c r="D96" s="31"/>
      <c r="E96" s="9"/>
      <c r="F96" s="30" t="s">
        <v>184</v>
      </c>
      <c r="G96" s="30" t="s">
        <v>184</v>
      </c>
      <c r="H96" s="30" t="s">
        <v>184</v>
      </c>
      <c r="I96" s="30" t="s">
        <v>184</v>
      </c>
      <c r="J96" s="30" t="s">
        <v>184</v>
      </c>
      <c r="K96" s="30" t="s">
        <v>184</v>
      </c>
      <c r="L96" s="30" t="s">
        <v>184</v>
      </c>
      <c r="M96" s="30" t="s">
        <v>184</v>
      </c>
      <c r="N96" s="30" t="s">
        <v>184</v>
      </c>
      <c r="O96" s="30" t="s">
        <v>184</v>
      </c>
      <c r="P96" s="30" t="s">
        <v>184</v>
      </c>
      <c r="Q96" s="30" t="s">
        <v>184</v>
      </c>
      <c r="R96" s="30" t="s">
        <v>184</v>
      </c>
      <c r="S96" s="30" t="s">
        <v>184</v>
      </c>
      <c r="T96" s="30" t="s">
        <v>184</v>
      </c>
      <c r="U96" s="30" t="s">
        <v>184</v>
      </c>
      <c r="V96" s="30" t="s">
        <v>184</v>
      </c>
      <c r="W96" s="30" t="s">
        <v>184</v>
      </c>
      <c r="X96" s="30" t="s">
        <v>184</v>
      </c>
      <c r="Y96" s="30" t="s">
        <v>184</v>
      </c>
      <c r="Z96" s="30" t="s">
        <v>184</v>
      </c>
      <c r="AA96" s="30" t="s">
        <v>184</v>
      </c>
      <c r="AB96" s="30" t="s">
        <v>184</v>
      </c>
      <c r="AE96">
        <f ca="1">IF(OR('Remediation Tracker'!E73="",AND('Remediation Tracker'!I73="Approved",'Remediation Tracker'!J73="Completed",ISNUMBER('Remediation Tracker'!L73),'Remediation Tracker'!L73&gt;0,'Remediation Tracker'!L73&lt;=TODAY(),'Remediation Tracker'!N73="Validated",IFERROR(AND('Remediation Tracker'!M73&lt;&gt;"",COUNTIF('Evidence Tracker'!$E$7:$E$106,'Remediation Tracker'!M73)=1,ISNUMBER(INDEX('Evidence Tracker'!$M$7:$M$106,MATCH('Remediation Tracker'!M73,'Evidence Tracker'!$E$7:$E$106,0))),LEN(TRIM(INDEX('Evidence Tracker'!$O$7:$O$106,MATCH('Remediation Tracker'!M73,'Evidence Tracker'!$E$7:$E$106,0))))&gt;0,LEN(TRIM(INDEX('Evidence Tracker'!$P$7:$P$106,MATCH('Remediation Tracker'!M73,'Evidence Tracker'!$E$7:$E$106,0))))&gt;0,COUNTIFS('Evidence Tracker'!$E$7:$E$106,'Remediation Tracker'!M73,'Evidence Tracker'!$F$7:$F$106,'Remediation Tracker'!F73,'Evidence Tracker'!$N$7:$N$106,"Reviewed",'Evidence Tracker'!$Q$7:$Q$106,"Validated",'Evidence Tracker'!$M$7:$M$106,"&gt;0",'Evidence Tracker'!$M$7:$M$106,"&lt;="&amp;TODAY())=1),FALSE))),0,IFERROR(INDEX('Risk Register'!$M$7:$M$106,MATCH('Remediation Tracker'!F73,'Risk Register'!$E$7:$E$106,0)),0)*10000+IF(AND(ISNUMBER('Remediation Tracker'!K73),'Remediation Tracker'!K73&lt;TODAY(),'Remediation Tracker'!J73&lt;&gt;"Completed"),1000,0)+107-ROW('Remediation Tracker'!E73))</f>
        <v>0</v>
      </c>
    </row>
    <row r="97" spans="31:31">
      <c r="AE97">
        <f ca="1">IF(OR('Remediation Tracker'!E74="",AND('Remediation Tracker'!I74="Approved",'Remediation Tracker'!J74="Completed",ISNUMBER('Remediation Tracker'!L74),'Remediation Tracker'!L74&gt;0,'Remediation Tracker'!L74&lt;=TODAY(),'Remediation Tracker'!N74="Validated",IFERROR(AND('Remediation Tracker'!M74&lt;&gt;"",COUNTIF('Evidence Tracker'!$E$7:$E$106,'Remediation Tracker'!M74)=1,ISNUMBER(INDEX('Evidence Tracker'!$M$7:$M$106,MATCH('Remediation Tracker'!M74,'Evidence Tracker'!$E$7:$E$106,0))),LEN(TRIM(INDEX('Evidence Tracker'!$O$7:$O$106,MATCH('Remediation Tracker'!M74,'Evidence Tracker'!$E$7:$E$106,0))))&gt;0,LEN(TRIM(INDEX('Evidence Tracker'!$P$7:$P$106,MATCH('Remediation Tracker'!M74,'Evidence Tracker'!$E$7:$E$106,0))))&gt;0,COUNTIFS('Evidence Tracker'!$E$7:$E$106,'Remediation Tracker'!M74,'Evidence Tracker'!$F$7:$F$106,'Remediation Tracker'!F74,'Evidence Tracker'!$N$7:$N$106,"Reviewed",'Evidence Tracker'!$Q$7:$Q$106,"Validated",'Evidence Tracker'!$M$7:$M$106,"&gt;0",'Evidence Tracker'!$M$7:$M$106,"&lt;="&amp;TODAY())=1),FALSE))),0,IFERROR(INDEX('Risk Register'!$M$7:$M$106,MATCH('Remediation Tracker'!F74,'Risk Register'!$E$7:$E$106,0)),0)*10000+IF(AND(ISNUMBER('Remediation Tracker'!K74),'Remediation Tracker'!K74&lt;TODAY(),'Remediation Tracker'!J74&lt;&gt;"Completed"),1000,0)+107-ROW('Remediation Tracker'!E74))</f>
        <v>0</v>
      </c>
    </row>
    <row r="98" spans="31:31">
      <c r="AE98">
        <f ca="1">IF(OR('Remediation Tracker'!E75="",AND('Remediation Tracker'!I75="Approved",'Remediation Tracker'!J75="Completed",ISNUMBER('Remediation Tracker'!L75),'Remediation Tracker'!L75&gt;0,'Remediation Tracker'!L75&lt;=TODAY(),'Remediation Tracker'!N75="Validated",IFERROR(AND('Remediation Tracker'!M75&lt;&gt;"",COUNTIF('Evidence Tracker'!$E$7:$E$106,'Remediation Tracker'!M75)=1,ISNUMBER(INDEX('Evidence Tracker'!$M$7:$M$106,MATCH('Remediation Tracker'!M75,'Evidence Tracker'!$E$7:$E$106,0))),LEN(TRIM(INDEX('Evidence Tracker'!$O$7:$O$106,MATCH('Remediation Tracker'!M75,'Evidence Tracker'!$E$7:$E$106,0))))&gt;0,LEN(TRIM(INDEX('Evidence Tracker'!$P$7:$P$106,MATCH('Remediation Tracker'!M75,'Evidence Tracker'!$E$7:$E$106,0))))&gt;0,COUNTIFS('Evidence Tracker'!$E$7:$E$106,'Remediation Tracker'!M75,'Evidence Tracker'!$F$7:$F$106,'Remediation Tracker'!F75,'Evidence Tracker'!$N$7:$N$106,"Reviewed",'Evidence Tracker'!$Q$7:$Q$106,"Validated",'Evidence Tracker'!$M$7:$M$106,"&gt;0",'Evidence Tracker'!$M$7:$M$106,"&lt;="&amp;TODAY())=1),FALSE))),0,IFERROR(INDEX('Risk Register'!$M$7:$M$106,MATCH('Remediation Tracker'!F75,'Risk Register'!$E$7:$E$106,0)),0)*10000+IF(AND(ISNUMBER('Remediation Tracker'!K75),'Remediation Tracker'!K75&lt;TODAY(),'Remediation Tracker'!J75&lt;&gt;"Completed"),1000,0)+107-ROW('Remediation Tracker'!E75))</f>
        <v>0</v>
      </c>
    </row>
    <row r="99" spans="31:31">
      <c r="AE99">
        <f ca="1">IF(OR('Remediation Tracker'!E76="",AND('Remediation Tracker'!I76="Approved",'Remediation Tracker'!J76="Completed",ISNUMBER('Remediation Tracker'!L76),'Remediation Tracker'!L76&gt;0,'Remediation Tracker'!L76&lt;=TODAY(),'Remediation Tracker'!N76="Validated",IFERROR(AND('Remediation Tracker'!M76&lt;&gt;"",COUNTIF('Evidence Tracker'!$E$7:$E$106,'Remediation Tracker'!M76)=1,ISNUMBER(INDEX('Evidence Tracker'!$M$7:$M$106,MATCH('Remediation Tracker'!M76,'Evidence Tracker'!$E$7:$E$106,0))),LEN(TRIM(INDEX('Evidence Tracker'!$O$7:$O$106,MATCH('Remediation Tracker'!M76,'Evidence Tracker'!$E$7:$E$106,0))))&gt;0,LEN(TRIM(INDEX('Evidence Tracker'!$P$7:$P$106,MATCH('Remediation Tracker'!M76,'Evidence Tracker'!$E$7:$E$106,0))))&gt;0,COUNTIFS('Evidence Tracker'!$E$7:$E$106,'Remediation Tracker'!M76,'Evidence Tracker'!$F$7:$F$106,'Remediation Tracker'!F76,'Evidence Tracker'!$N$7:$N$106,"Reviewed",'Evidence Tracker'!$Q$7:$Q$106,"Validated",'Evidence Tracker'!$M$7:$M$106,"&gt;0",'Evidence Tracker'!$M$7:$M$106,"&lt;="&amp;TODAY())=1),FALSE))),0,IFERROR(INDEX('Risk Register'!$M$7:$M$106,MATCH('Remediation Tracker'!F76,'Risk Register'!$E$7:$E$106,0)),0)*10000+IF(AND(ISNUMBER('Remediation Tracker'!K76),'Remediation Tracker'!K76&lt;TODAY(),'Remediation Tracker'!J76&lt;&gt;"Completed"),1000,0)+107-ROW('Remediation Tracker'!E76))</f>
        <v>0</v>
      </c>
    </row>
    <row r="100" spans="31:31">
      <c r="AE100">
        <f ca="1">IF(OR('Remediation Tracker'!E77="",AND('Remediation Tracker'!I77="Approved",'Remediation Tracker'!J77="Completed",ISNUMBER('Remediation Tracker'!L77),'Remediation Tracker'!L77&gt;0,'Remediation Tracker'!L77&lt;=TODAY(),'Remediation Tracker'!N77="Validated",IFERROR(AND('Remediation Tracker'!M77&lt;&gt;"",COUNTIF('Evidence Tracker'!$E$7:$E$106,'Remediation Tracker'!M77)=1,ISNUMBER(INDEX('Evidence Tracker'!$M$7:$M$106,MATCH('Remediation Tracker'!M77,'Evidence Tracker'!$E$7:$E$106,0))),LEN(TRIM(INDEX('Evidence Tracker'!$O$7:$O$106,MATCH('Remediation Tracker'!M77,'Evidence Tracker'!$E$7:$E$106,0))))&gt;0,LEN(TRIM(INDEX('Evidence Tracker'!$P$7:$P$106,MATCH('Remediation Tracker'!M77,'Evidence Tracker'!$E$7:$E$106,0))))&gt;0,COUNTIFS('Evidence Tracker'!$E$7:$E$106,'Remediation Tracker'!M77,'Evidence Tracker'!$F$7:$F$106,'Remediation Tracker'!F77,'Evidence Tracker'!$N$7:$N$106,"Reviewed",'Evidence Tracker'!$Q$7:$Q$106,"Validated",'Evidence Tracker'!$M$7:$M$106,"&gt;0",'Evidence Tracker'!$M$7:$M$106,"&lt;="&amp;TODAY())=1),FALSE))),0,IFERROR(INDEX('Risk Register'!$M$7:$M$106,MATCH('Remediation Tracker'!F77,'Risk Register'!$E$7:$E$106,0)),0)*10000+IF(AND(ISNUMBER('Remediation Tracker'!K77),'Remediation Tracker'!K77&lt;TODAY(),'Remediation Tracker'!J77&lt;&gt;"Completed"),1000,0)+107-ROW('Remediation Tracker'!E77))</f>
        <v>0</v>
      </c>
    </row>
    <row r="101" spans="31:31">
      <c r="AE101">
        <f ca="1">IF(OR('Remediation Tracker'!E78="",AND('Remediation Tracker'!I78="Approved",'Remediation Tracker'!J78="Completed",ISNUMBER('Remediation Tracker'!L78),'Remediation Tracker'!L78&gt;0,'Remediation Tracker'!L78&lt;=TODAY(),'Remediation Tracker'!N78="Validated",IFERROR(AND('Remediation Tracker'!M78&lt;&gt;"",COUNTIF('Evidence Tracker'!$E$7:$E$106,'Remediation Tracker'!M78)=1,ISNUMBER(INDEX('Evidence Tracker'!$M$7:$M$106,MATCH('Remediation Tracker'!M78,'Evidence Tracker'!$E$7:$E$106,0))),LEN(TRIM(INDEX('Evidence Tracker'!$O$7:$O$106,MATCH('Remediation Tracker'!M78,'Evidence Tracker'!$E$7:$E$106,0))))&gt;0,LEN(TRIM(INDEX('Evidence Tracker'!$P$7:$P$106,MATCH('Remediation Tracker'!M78,'Evidence Tracker'!$E$7:$E$106,0))))&gt;0,COUNTIFS('Evidence Tracker'!$E$7:$E$106,'Remediation Tracker'!M78,'Evidence Tracker'!$F$7:$F$106,'Remediation Tracker'!F78,'Evidence Tracker'!$N$7:$N$106,"Reviewed",'Evidence Tracker'!$Q$7:$Q$106,"Validated",'Evidence Tracker'!$M$7:$M$106,"&gt;0",'Evidence Tracker'!$M$7:$M$106,"&lt;="&amp;TODAY())=1),FALSE))),0,IFERROR(INDEX('Risk Register'!$M$7:$M$106,MATCH('Remediation Tracker'!F78,'Risk Register'!$E$7:$E$106,0)),0)*10000+IF(AND(ISNUMBER('Remediation Tracker'!K78),'Remediation Tracker'!K78&lt;TODAY(),'Remediation Tracker'!J78&lt;&gt;"Completed"),1000,0)+107-ROW('Remediation Tracker'!E78))</f>
        <v>0</v>
      </c>
    </row>
    <row r="102" spans="31:31">
      <c r="AE102">
        <f ca="1">IF(OR('Remediation Tracker'!E79="",AND('Remediation Tracker'!I79="Approved",'Remediation Tracker'!J79="Completed",ISNUMBER('Remediation Tracker'!L79),'Remediation Tracker'!L79&gt;0,'Remediation Tracker'!L79&lt;=TODAY(),'Remediation Tracker'!N79="Validated",IFERROR(AND('Remediation Tracker'!M79&lt;&gt;"",COUNTIF('Evidence Tracker'!$E$7:$E$106,'Remediation Tracker'!M79)=1,ISNUMBER(INDEX('Evidence Tracker'!$M$7:$M$106,MATCH('Remediation Tracker'!M79,'Evidence Tracker'!$E$7:$E$106,0))),LEN(TRIM(INDEX('Evidence Tracker'!$O$7:$O$106,MATCH('Remediation Tracker'!M79,'Evidence Tracker'!$E$7:$E$106,0))))&gt;0,LEN(TRIM(INDEX('Evidence Tracker'!$P$7:$P$106,MATCH('Remediation Tracker'!M79,'Evidence Tracker'!$E$7:$E$106,0))))&gt;0,COUNTIFS('Evidence Tracker'!$E$7:$E$106,'Remediation Tracker'!M79,'Evidence Tracker'!$F$7:$F$106,'Remediation Tracker'!F79,'Evidence Tracker'!$N$7:$N$106,"Reviewed",'Evidence Tracker'!$Q$7:$Q$106,"Validated",'Evidence Tracker'!$M$7:$M$106,"&gt;0",'Evidence Tracker'!$M$7:$M$106,"&lt;="&amp;TODAY())=1),FALSE))),0,IFERROR(INDEX('Risk Register'!$M$7:$M$106,MATCH('Remediation Tracker'!F79,'Risk Register'!$E$7:$E$106,0)),0)*10000+IF(AND(ISNUMBER('Remediation Tracker'!K79),'Remediation Tracker'!K79&lt;TODAY(),'Remediation Tracker'!J79&lt;&gt;"Completed"),1000,0)+107-ROW('Remediation Tracker'!E79))</f>
        <v>0</v>
      </c>
    </row>
    <row r="103" spans="31:31">
      <c r="AE103">
        <f ca="1">IF(OR('Remediation Tracker'!E80="",AND('Remediation Tracker'!I80="Approved",'Remediation Tracker'!J80="Completed",ISNUMBER('Remediation Tracker'!L80),'Remediation Tracker'!L80&gt;0,'Remediation Tracker'!L80&lt;=TODAY(),'Remediation Tracker'!N80="Validated",IFERROR(AND('Remediation Tracker'!M80&lt;&gt;"",COUNTIF('Evidence Tracker'!$E$7:$E$106,'Remediation Tracker'!M80)=1,ISNUMBER(INDEX('Evidence Tracker'!$M$7:$M$106,MATCH('Remediation Tracker'!M80,'Evidence Tracker'!$E$7:$E$106,0))),LEN(TRIM(INDEX('Evidence Tracker'!$O$7:$O$106,MATCH('Remediation Tracker'!M80,'Evidence Tracker'!$E$7:$E$106,0))))&gt;0,LEN(TRIM(INDEX('Evidence Tracker'!$P$7:$P$106,MATCH('Remediation Tracker'!M80,'Evidence Tracker'!$E$7:$E$106,0))))&gt;0,COUNTIFS('Evidence Tracker'!$E$7:$E$106,'Remediation Tracker'!M80,'Evidence Tracker'!$F$7:$F$106,'Remediation Tracker'!F80,'Evidence Tracker'!$N$7:$N$106,"Reviewed",'Evidence Tracker'!$Q$7:$Q$106,"Validated",'Evidence Tracker'!$M$7:$M$106,"&gt;0",'Evidence Tracker'!$M$7:$M$106,"&lt;="&amp;TODAY())=1),FALSE))),0,IFERROR(INDEX('Risk Register'!$M$7:$M$106,MATCH('Remediation Tracker'!F80,'Risk Register'!$E$7:$E$106,0)),0)*10000+IF(AND(ISNUMBER('Remediation Tracker'!K80),'Remediation Tracker'!K80&lt;TODAY(),'Remediation Tracker'!J80&lt;&gt;"Completed"),1000,0)+107-ROW('Remediation Tracker'!E80))</f>
        <v>0</v>
      </c>
    </row>
    <row r="104" spans="31:31">
      <c r="AE104">
        <f ca="1">IF(OR('Remediation Tracker'!E81="",AND('Remediation Tracker'!I81="Approved",'Remediation Tracker'!J81="Completed",ISNUMBER('Remediation Tracker'!L81),'Remediation Tracker'!L81&gt;0,'Remediation Tracker'!L81&lt;=TODAY(),'Remediation Tracker'!N81="Validated",IFERROR(AND('Remediation Tracker'!M81&lt;&gt;"",COUNTIF('Evidence Tracker'!$E$7:$E$106,'Remediation Tracker'!M81)=1,ISNUMBER(INDEX('Evidence Tracker'!$M$7:$M$106,MATCH('Remediation Tracker'!M81,'Evidence Tracker'!$E$7:$E$106,0))),LEN(TRIM(INDEX('Evidence Tracker'!$O$7:$O$106,MATCH('Remediation Tracker'!M81,'Evidence Tracker'!$E$7:$E$106,0))))&gt;0,LEN(TRIM(INDEX('Evidence Tracker'!$P$7:$P$106,MATCH('Remediation Tracker'!M81,'Evidence Tracker'!$E$7:$E$106,0))))&gt;0,COUNTIFS('Evidence Tracker'!$E$7:$E$106,'Remediation Tracker'!M81,'Evidence Tracker'!$F$7:$F$106,'Remediation Tracker'!F81,'Evidence Tracker'!$N$7:$N$106,"Reviewed",'Evidence Tracker'!$Q$7:$Q$106,"Validated",'Evidence Tracker'!$M$7:$M$106,"&gt;0",'Evidence Tracker'!$M$7:$M$106,"&lt;="&amp;TODAY())=1),FALSE))),0,IFERROR(INDEX('Risk Register'!$M$7:$M$106,MATCH('Remediation Tracker'!F81,'Risk Register'!$E$7:$E$106,0)),0)*10000+IF(AND(ISNUMBER('Remediation Tracker'!K81),'Remediation Tracker'!K81&lt;TODAY(),'Remediation Tracker'!J81&lt;&gt;"Completed"),1000,0)+107-ROW('Remediation Tracker'!E81))</f>
        <v>0</v>
      </c>
    </row>
    <row r="105" spans="31:31">
      <c r="AE105">
        <f ca="1">IF(OR('Remediation Tracker'!E82="",AND('Remediation Tracker'!I82="Approved",'Remediation Tracker'!J82="Completed",ISNUMBER('Remediation Tracker'!L82),'Remediation Tracker'!L82&gt;0,'Remediation Tracker'!L82&lt;=TODAY(),'Remediation Tracker'!N82="Validated",IFERROR(AND('Remediation Tracker'!M82&lt;&gt;"",COUNTIF('Evidence Tracker'!$E$7:$E$106,'Remediation Tracker'!M82)=1,ISNUMBER(INDEX('Evidence Tracker'!$M$7:$M$106,MATCH('Remediation Tracker'!M82,'Evidence Tracker'!$E$7:$E$106,0))),LEN(TRIM(INDEX('Evidence Tracker'!$O$7:$O$106,MATCH('Remediation Tracker'!M82,'Evidence Tracker'!$E$7:$E$106,0))))&gt;0,LEN(TRIM(INDEX('Evidence Tracker'!$P$7:$P$106,MATCH('Remediation Tracker'!M82,'Evidence Tracker'!$E$7:$E$106,0))))&gt;0,COUNTIFS('Evidence Tracker'!$E$7:$E$106,'Remediation Tracker'!M82,'Evidence Tracker'!$F$7:$F$106,'Remediation Tracker'!F82,'Evidence Tracker'!$N$7:$N$106,"Reviewed",'Evidence Tracker'!$Q$7:$Q$106,"Validated",'Evidence Tracker'!$M$7:$M$106,"&gt;0",'Evidence Tracker'!$M$7:$M$106,"&lt;="&amp;TODAY())=1),FALSE))),0,IFERROR(INDEX('Risk Register'!$M$7:$M$106,MATCH('Remediation Tracker'!F82,'Risk Register'!$E$7:$E$106,0)),0)*10000+IF(AND(ISNUMBER('Remediation Tracker'!K82),'Remediation Tracker'!K82&lt;TODAY(),'Remediation Tracker'!J82&lt;&gt;"Completed"),1000,0)+107-ROW('Remediation Tracker'!E82))</f>
        <v>0</v>
      </c>
    </row>
    <row r="106" spans="31:31">
      <c r="AE106">
        <f ca="1">IF(OR('Remediation Tracker'!E83="",AND('Remediation Tracker'!I83="Approved",'Remediation Tracker'!J83="Completed",ISNUMBER('Remediation Tracker'!L83),'Remediation Tracker'!L83&gt;0,'Remediation Tracker'!L83&lt;=TODAY(),'Remediation Tracker'!N83="Validated",IFERROR(AND('Remediation Tracker'!M83&lt;&gt;"",COUNTIF('Evidence Tracker'!$E$7:$E$106,'Remediation Tracker'!M83)=1,ISNUMBER(INDEX('Evidence Tracker'!$M$7:$M$106,MATCH('Remediation Tracker'!M83,'Evidence Tracker'!$E$7:$E$106,0))),LEN(TRIM(INDEX('Evidence Tracker'!$O$7:$O$106,MATCH('Remediation Tracker'!M83,'Evidence Tracker'!$E$7:$E$106,0))))&gt;0,LEN(TRIM(INDEX('Evidence Tracker'!$P$7:$P$106,MATCH('Remediation Tracker'!M83,'Evidence Tracker'!$E$7:$E$106,0))))&gt;0,COUNTIFS('Evidence Tracker'!$E$7:$E$106,'Remediation Tracker'!M83,'Evidence Tracker'!$F$7:$F$106,'Remediation Tracker'!F83,'Evidence Tracker'!$N$7:$N$106,"Reviewed",'Evidence Tracker'!$Q$7:$Q$106,"Validated",'Evidence Tracker'!$M$7:$M$106,"&gt;0",'Evidence Tracker'!$M$7:$M$106,"&lt;="&amp;TODAY())=1),FALSE))),0,IFERROR(INDEX('Risk Register'!$M$7:$M$106,MATCH('Remediation Tracker'!F83,'Risk Register'!$E$7:$E$106,0)),0)*10000+IF(AND(ISNUMBER('Remediation Tracker'!K83),'Remediation Tracker'!K83&lt;TODAY(),'Remediation Tracker'!J83&lt;&gt;"Completed"),1000,0)+107-ROW('Remediation Tracker'!E83))</f>
        <v>0</v>
      </c>
    </row>
    <row r="107" spans="31:31">
      <c r="AE107">
        <f ca="1">IF(OR('Remediation Tracker'!E84="",AND('Remediation Tracker'!I84="Approved",'Remediation Tracker'!J84="Completed",ISNUMBER('Remediation Tracker'!L84),'Remediation Tracker'!L84&gt;0,'Remediation Tracker'!L84&lt;=TODAY(),'Remediation Tracker'!N84="Validated",IFERROR(AND('Remediation Tracker'!M84&lt;&gt;"",COUNTIF('Evidence Tracker'!$E$7:$E$106,'Remediation Tracker'!M84)=1,ISNUMBER(INDEX('Evidence Tracker'!$M$7:$M$106,MATCH('Remediation Tracker'!M84,'Evidence Tracker'!$E$7:$E$106,0))),LEN(TRIM(INDEX('Evidence Tracker'!$O$7:$O$106,MATCH('Remediation Tracker'!M84,'Evidence Tracker'!$E$7:$E$106,0))))&gt;0,LEN(TRIM(INDEX('Evidence Tracker'!$P$7:$P$106,MATCH('Remediation Tracker'!M84,'Evidence Tracker'!$E$7:$E$106,0))))&gt;0,COUNTIFS('Evidence Tracker'!$E$7:$E$106,'Remediation Tracker'!M84,'Evidence Tracker'!$F$7:$F$106,'Remediation Tracker'!F84,'Evidence Tracker'!$N$7:$N$106,"Reviewed",'Evidence Tracker'!$Q$7:$Q$106,"Validated",'Evidence Tracker'!$M$7:$M$106,"&gt;0",'Evidence Tracker'!$M$7:$M$106,"&lt;="&amp;TODAY())=1),FALSE))),0,IFERROR(INDEX('Risk Register'!$M$7:$M$106,MATCH('Remediation Tracker'!F84,'Risk Register'!$E$7:$E$106,0)),0)*10000+IF(AND(ISNUMBER('Remediation Tracker'!K84),'Remediation Tracker'!K84&lt;TODAY(),'Remediation Tracker'!J84&lt;&gt;"Completed"),1000,0)+107-ROW('Remediation Tracker'!E84))</f>
        <v>0</v>
      </c>
    </row>
    <row r="108" spans="31:31">
      <c r="AE108">
        <f ca="1">IF(OR('Remediation Tracker'!E85="",AND('Remediation Tracker'!I85="Approved",'Remediation Tracker'!J85="Completed",ISNUMBER('Remediation Tracker'!L85),'Remediation Tracker'!L85&gt;0,'Remediation Tracker'!L85&lt;=TODAY(),'Remediation Tracker'!N85="Validated",IFERROR(AND('Remediation Tracker'!M85&lt;&gt;"",COUNTIF('Evidence Tracker'!$E$7:$E$106,'Remediation Tracker'!M85)=1,ISNUMBER(INDEX('Evidence Tracker'!$M$7:$M$106,MATCH('Remediation Tracker'!M85,'Evidence Tracker'!$E$7:$E$106,0))),LEN(TRIM(INDEX('Evidence Tracker'!$O$7:$O$106,MATCH('Remediation Tracker'!M85,'Evidence Tracker'!$E$7:$E$106,0))))&gt;0,LEN(TRIM(INDEX('Evidence Tracker'!$P$7:$P$106,MATCH('Remediation Tracker'!M85,'Evidence Tracker'!$E$7:$E$106,0))))&gt;0,COUNTIFS('Evidence Tracker'!$E$7:$E$106,'Remediation Tracker'!M85,'Evidence Tracker'!$F$7:$F$106,'Remediation Tracker'!F85,'Evidence Tracker'!$N$7:$N$106,"Reviewed",'Evidence Tracker'!$Q$7:$Q$106,"Validated",'Evidence Tracker'!$M$7:$M$106,"&gt;0",'Evidence Tracker'!$M$7:$M$106,"&lt;="&amp;TODAY())=1),FALSE))),0,IFERROR(INDEX('Risk Register'!$M$7:$M$106,MATCH('Remediation Tracker'!F85,'Risk Register'!$E$7:$E$106,0)),0)*10000+IF(AND(ISNUMBER('Remediation Tracker'!K85),'Remediation Tracker'!K85&lt;TODAY(),'Remediation Tracker'!J85&lt;&gt;"Completed"),1000,0)+107-ROW('Remediation Tracker'!E85))</f>
        <v>0</v>
      </c>
    </row>
    <row r="109" spans="31:31">
      <c r="AE109">
        <f ca="1">IF(OR('Remediation Tracker'!E86="",AND('Remediation Tracker'!I86="Approved",'Remediation Tracker'!J86="Completed",ISNUMBER('Remediation Tracker'!L86),'Remediation Tracker'!L86&gt;0,'Remediation Tracker'!L86&lt;=TODAY(),'Remediation Tracker'!N86="Validated",IFERROR(AND('Remediation Tracker'!M86&lt;&gt;"",COUNTIF('Evidence Tracker'!$E$7:$E$106,'Remediation Tracker'!M86)=1,ISNUMBER(INDEX('Evidence Tracker'!$M$7:$M$106,MATCH('Remediation Tracker'!M86,'Evidence Tracker'!$E$7:$E$106,0))),LEN(TRIM(INDEX('Evidence Tracker'!$O$7:$O$106,MATCH('Remediation Tracker'!M86,'Evidence Tracker'!$E$7:$E$106,0))))&gt;0,LEN(TRIM(INDEX('Evidence Tracker'!$P$7:$P$106,MATCH('Remediation Tracker'!M86,'Evidence Tracker'!$E$7:$E$106,0))))&gt;0,COUNTIFS('Evidence Tracker'!$E$7:$E$106,'Remediation Tracker'!M86,'Evidence Tracker'!$F$7:$F$106,'Remediation Tracker'!F86,'Evidence Tracker'!$N$7:$N$106,"Reviewed",'Evidence Tracker'!$Q$7:$Q$106,"Validated",'Evidence Tracker'!$M$7:$M$106,"&gt;0",'Evidence Tracker'!$M$7:$M$106,"&lt;="&amp;TODAY())=1),FALSE))),0,IFERROR(INDEX('Risk Register'!$M$7:$M$106,MATCH('Remediation Tracker'!F86,'Risk Register'!$E$7:$E$106,0)),0)*10000+IF(AND(ISNUMBER('Remediation Tracker'!K86),'Remediation Tracker'!K86&lt;TODAY(),'Remediation Tracker'!J86&lt;&gt;"Completed"),1000,0)+107-ROW('Remediation Tracker'!E86))</f>
        <v>0</v>
      </c>
    </row>
    <row r="110" spans="31:31">
      <c r="AE110">
        <f ca="1">IF(OR('Remediation Tracker'!E87="",AND('Remediation Tracker'!I87="Approved",'Remediation Tracker'!J87="Completed",ISNUMBER('Remediation Tracker'!L87),'Remediation Tracker'!L87&gt;0,'Remediation Tracker'!L87&lt;=TODAY(),'Remediation Tracker'!N87="Validated",IFERROR(AND('Remediation Tracker'!M87&lt;&gt;"",COUNTIF('Evidence Tracker'!$E$7:$E$106,'Remediation Tracker'!M87)=1,ISNUMBER(INDEX('Evidence Tracker'!$M$7:$M$106,MATCH('Remediation Tracker'!M87,'Evidence Tracker'!$E$7:$E$106,0))),LEN(TRIM(INDEX('Evidence Tracker'!$O$7:$O$106,MATCH('Remediation Tracker'!M87,'Evidence Tracker'!$E$7:$E$106,0))))&gt;0,LEN(TRIM(INDEX('Evidence Tracker'!$P$7:$P$106,MATCH('Remediation Tracker'!M87,'Evidence Tracker'!$E$7:$E$106,0))))&gt;0,COUNTIFS('Evidence Tracker'!$E$7:$E$106,'Remediation Tracker'!M87,'Evidence Tracker'!$F$7:$F$106,'Remediation Tracker'!F87,'Evidence Tracker'!$N$7:$N$106,"Reviewed",'Evidence Tracker'!$Q$7:$Q$106,"Validated",'Evidence Tracker'!$M$7:$M$106,"&gt;0",'Evidence Tracker'!$M$7:$M$106,"&lt;="&amp;TODAY())=1),FALSE))),0,IFERROR(INDEX('Risk Register'!$M$7:$M$106,MATCH('Remediation Tracker'!F87,'Risk Register'!$E$7:$E$106,0)),0)*10000+IF(AND(ISNUMBER('Remediation Tracker'!K87),'Remediation Tracker'!K87&lt;TODAY(),'Remediation Tracker'!J87&lt;&gt;"Completed"),1000,0)+107-ROW('Remediation Tracker'!E87))</f>
        <v>0</v>
      </c>
    </row>
    <row r="111" spans="31:31">
      <c r="AE111">
        <f ca="1">IF(OR('Remediation Tracker'!E88="",AND('Remediation Tracker'!I88="Approved",'Remediation Tracker'!J88="Completed",ISNUMBER('Remediation Tracker'!L88),'Remediation Tracker'!L88&gt;0,'Remediation Tracker'!L88&lt;=TODAY(),'Remediation Tracker'!N88="Validated",IFERROR(AND('Remediation Tracker'!M88&lt;&gt;"",COUNTIF('Evidence Tracker'!$E$7:$E$106,'Remediation Tracker'!M88)=1,ISNUMBER(INDEX('Evidence Tracker'!$M$7:$M$106,MATCH('Remediation Tracker'!M88,'Evidence Tracker'!$E$7:$E$106,0))),LEN(TRIM(INDEX('Evidence Tracker'!$O$7:$O$106,MATCH('Remediation Tracker'!M88,'Evidence Tracker'!$E$7:$E$106,0))))&gt;0,LEN(TRIM(INDEX('Evidence Tracker'!$P$7:$P$106,MATCH('Remediation Tracker'!M88,'Evidence Tracker'!$E$7:$E$106,0))))&gt;0,COUNTIFS('Evidence Tracker'!$E$7:$E$106,'Remediation Tracker'!M88,'Evidence Tracker'!$F$7:$F$106,'Remediation Tracker'!F88,'Evidence Tracker'!$N$7:$N$106,"Reviewed",'Evidence Tracker'!$Q$7:$Q$106,"Validated",'Evidence Tracker'!$M$7:$M$106,"&gt;0",'Evidence Tracker'!$M$7:$M$106,"&lt;="&amp;TODAY())=1),FALSE))),0,IFERROR(INDEX('Risk Register'!$M$7:$M$106,MATCH('Remediation Tracker'!F88,'Risk Register'!$E$7:$E$106,0)),0)*10000+IF(AND(ISNUMBER('Remediation Tracker'!K88),'Remediation Tracker'!K88&lt;TODAY(),'Remediation Tracker'!J88&lt;&gt;"Completed"),1000,0)+107-ROW('Remediation Tracker'!E88))</f>
        <v>0</v>
      </c>
    </row>
    <row r="112" spans="31:31">
      <c r="AE112">
        <f ca="1">IF(OR('Remediation Tracker'!E89="",AND('Remediation Tracker'!I89="Approved",'Remediation Tracker'!J89="Completed",ISNUMBER('Remediation Tracker'!L89),'Remediation Tracker'!L89&gt;0,'Remediation Tracker'!L89&lt;=TODAY(),'Remediation Tracker'!N89="Validated",IFERROR(AND('Remediation Tracker'!M89&lt;&gt;"",COUNTIF('Evidence Tracker'!$E$7:$E$106,'Remediation Tracker'!M89)=1,ISNUMBER(INDEX('Evidence Tracker'!$M$7:$M$106,MATCH('Remediation Tracker'!M89,'Evidence Tracker'!$E$7:$E$106,0))),LEN(TRIM(INDEX('Evidence Tracker'!$O$7:$O$106,MATCH('Remediation Tracker'!M89,'Evidence Tracker'!$E$7:$E$106,0))))&gt;0,LEN(TRIM(INDEX('Evidence Tracker'!$P$7:$P$106,MATCH('Remediation Tracker'!M89,'Evidence Tracker'!$E$7:$E$106,0))))&gt;0,COUNTIFS('Evidence Tracker'!$E$7:$E$106,'Remediation Tracker'!M89,'Evidence Tracker'!$F$7:$F$106,'Remediation Tracker'!F89,'Evidence Tracker'!$N$7:$N$106,"Reviewed",'Evidence Tracker'!$Q$7:$Q$106,"Validated",'Evidence Tracker'!$M$7:$M$106,"&gt;0",'Evidence Tracker'!$M$7:$M$106,"&lt;="&amp;TODAY())=1),FALSE))),0,IFERROR(INDEX('Risk Register'!$M$7:$M$106,MATCH('Remediation Tracker'!F89,'Risk Register'!$E$7:$E$106,0)),0)*10000+IF(AND(ISNUMBER('Remediation Tracker'!K89),'Remediation Tracker'!K89&lt;TODAY(),'Remediation Tracker'!J89&lt;&gt;"Completed"),1000,0)+107-ROW('Remediation Tracker'!E89))</f>
        <v>0</v>
      </c>
    </row>
    <row r="113" spans="31:31">
      <c r="AE113">
        <f ca="1">IF(OR('Remediation Tracker'!E90="",AND('Remediation Tracker'!I90="Approved",'Remediation Tracker'!J90="Completed",ISNUMBER('Remediation Tracker'!L90),'Remediation Tracker'!L90&gt;0,'Remediation Tracker'!L90&lt;=TODAY(),'Remediation Tracker'!N90="Validated",IFERROR(AND('Remediation Tracker'!M90&lt;&gt;"",COUNTIF('Evidence Tracker'!$E$7:$E$106,'Remediation Tracker'!M90)=1,ISNUMBER(INDEX('Evidence Tracker'!$M$7:$M$106,MATCH('Remediation Tracker'!M90,'Evidence Tracker'!$E$7:$E$106,0))),LEN(TRIM(INDEX('Evidence Tracker'!$O$7:$O$106,MATCH('Remediation Tracker'!M90,'Evidence Tracker'!$E$7:$E$106,0))))&gt;0,LEN(TRIM(INDEX('Evidence Tracker'!$P$7:$P$106,MATCH('Remediation Tracker'!M90,'Evidence Tracker'!$E$7:$E$106,0))))&gt;0,COUNTIFS('Evidence Tracker'!$E$7:$E$106,'Remediation Tracker'!M90,'Evidence Tracker'!$F$7:$F$106,'Remediation Tracker'!F90,'Evidence Tracker'!$N$7:$N$106,"Reviewed",'Evidence Tracker'!$Q$7:$Q$106,"Validated",'Evidence Tracker'!$M$7:$M$106,"&gt;0",'Evidence Tracker'!$M$7:$M$106,"&lt;="&amp;TODAY())=1),FALSE))),0,IFERROR(INDEX('Risk Register'!$M$7:$M$106,MATCH('Remediation Tracker'!F90,'Risk Register'!$E$7:$E$106,0)),0)*10000+IF(AND(ISNUMBER('Remediation Tracker'!K90),'Remediation Tracker'!K90&lt;TODAY(),'Remediation Tracker'!J90&lt;&gt;"Completed"),1000,0)+107-ROW('Remediation Tracker'!E90))</f>
        <v>0</v>
      </c>
    </row>
    <row r="114" spans="31:31">
      <c r="AE114">
        <f ca="1">IF(OR('Remediation Tracker'!E91="",AND('Remediation Tracker'!I91="Approved",'Remediation Tracker'!J91="Completed",ISNUMBER('Remediation Tracker'!L91),'Remediation Tracker'!L91&gt;0,'Remediation Tracker'!L91&lt;=TODAY(),'Remediation Tracker'!N91="Validated",IFERROR(AND('Remediation Tracker'!M91&lt;&gt;"",COUNTIF('Evidence Tracker'!$E$7:$E$106,'Remediation Tracker'!M91)=1,ISNUMBER(INDEX('Evidence Tracker'!$M$7:$M$106,MATCH('Remediation Tracker'!M91,'Evidence Tracker'!$E$7:$E$106,0))),LEN(TRIM(INDEX('Evidence Tracker'!$O$7:$O$106,MATCH('Remediation Tracker'!M91,'Evidence Tracker'!$E$7:$E$106,0))))&gt;0,LEN(TRIM(INDEX('Evidence Tracker'!$P$7:$P$106,MATCH('Remediation Tracker'!M91,'Evidence Tracker'!$E$7:$E$106,0))))&gt;0,COUNTIFS('Evidence Tracker'!$E$7:$E$106,'Remediation Tracker'!M91,'Evidence Tracker'!$F$7:$F$106,'Remediation Tracker'!F91,'Evidence Tracker'!$N$7:$N$106,"Reviewed",'Evidence Tracker'!$Q$7:$Q$106,"Validated",'Evidence Tracker'!$M$7:$M$106,"&gt;0",'Evidence Tracker'!$M$7:$M$106,"&lt;="&amp;TODAY())=1),FALSE))),0,IFERROR(INDEX('Risk Register'!$M$7:$M$106,MATCH('Remediation Tracker'!F91,'Risk Register'!$E$7:$E$106,0)),0)*10000+IF(AND(ISNUMBER('Remediation Tracker'!K91),'Remediation Tracker'!K91&lt;TODAY(),'Remediation Tracker'!J91&lt;&gt;"Completed"),1000,0)+107-ROW('Remediation Tracker'!E91))</f>
        <v>0</v>
      </c>
    </row>
    <row r="115" spans="31:31">
      <c r="AE115">
        <f ca="1">IF(OR('Remediation Tracker'!E92="",AND('Remediation Tracker'!I92="Approved",'Remediation Tracker'!J92="Completed",ISNUMBER('Remediation Tracker'!L92),'Remediation Tracker'!L92&gt;0,'Remediation Tracker'!L92&lt;=TODAY(),'Remediation Tracker'!N92="Validated",IFERROR(AND('Remediation Tracker'!M92&lt;&gt;"",COUNTIF('Evidence Tracker'!$E$7:$E$106,'Remediation Tracker'!M92)=1,ISNUMBER(INDEX('Evidence Tracker'!$M$7:$M$106,MATCH('Remediation Tracker'!M92,'Evidence Tracker'!$E$7:$E$106,0))),LEN(TRIM(INDEX('Evidence Tracker'!$O$7:$O$106,MATCH('Remediation Tracker'!M92,'Evidence Tracker'!$E$7:$E$106,0))))&gt;0,LEN(TRIM(INDEX('Evidence Tracker'!$P$7:$P$106,MATCH('Remediation Tracker'!M92,'Evidence Tracker'!$E$7:$E$106,0))))&gt;0,COUNTIFS('Evidence Tracker'!$E$7:$E$106,'Remediation Tracker'!M92,'Evidence Tracker'!$F$7:$F$106,'Remediation Tracker'!F92,'Evidence Tracker'!$N$7:$N$106,"Reviewed",'Evidence Tracker'!$Q$7:$Q$106,"Validated",'Evidence Tracker'!$M$7:$M$106,"&gt;0",'Evidence Tracker'!$M$7:$M$106,"&lt;="&amp;TODAY())=1),FALSE))),0,IFERROR(INDEX('Risk Register'!$M$7:$M$106,MATCH('Remediation Tracker'!F92,'Risk Register'!$E$7:$E$106,0)),0)*10000+IF(AND(ISNUMBER('Remediation Tracker'!K92),'Remediation Tracker'!K92&lt;TODAY(),'Remediation Tracker'!J92&lt;&gt;"Completed"),1000,0)+107-ROW('Remediation Tracker'!E92))</f>
        <v>0</v>
      </c>
    </row>
    <row r="116" spans="31:31">
      <c r="AE116">
        <f ca="1">IF(OR('Remediation Tracker'!E93="",AND('Remediation Tracker'!I93="Approved",'Remediation Tracker'!J93="Completed",ISNUMBER('Remediation Tracker'!L93),'Remediation Tracker'!L93&gt;0,'Remediation Tracker'!L93&lt;=TODAY(),'Remediation Tracker'!N93="Validated",IFERROR(AND('Remediation Tracker'!M93&lt;&gt;"",COUNTIF('Evidence Tracker'!$E$7:$E$106,'Remediation Tracker'!M93)=1,ISNUMBER(INDEX('Evidence Tracker'!$M$7:$M$106,MATCH('Remediation Tracker'!M93,'Evidence Tracker'!$E$7:$E$106,0))),LEN(TRIM(INDEX('Evidence Tracker'!$O$7:$O$106,MATCH('Remediation Tracker'!M93,'Evidence Tracker'!$E$7:$E$106,0))))&gt;0,LEN(TRIM(INDEX('Evidence Tracker'!$P$7:$P$106,MATCH('Remediation Tracker'!M93,'Evidence Tracker'!$E$7:$E$106,0))))&gt;0,COUNTIFS('Evidence Tracker'!$E$7:$E$106,'Remediation Tracker'!M93,'Evidence Tracker'!$F$7:$F$106,'Remediation Tracker'!F93,'Evidence Tracker'!$N$7:$N$106,"Reviewed",'Evidence Tracker'!$Q$7:$Q$106,"Validated",'Evidence Tracker'!$M$7:$M$106,"&gt;0",'Evidence Tracker'!$M$7:$M$106,"&lt;="&amp;TODAY())=1),FALSE))),0,IFERROR(INDEX('Risk Register'!$M$7:$M$106,MATCH('Remediation Tracker'!F93,'Risk Register'!$E$7:$E$106,0)),0)*10000+IF(AND(ISNUMBER('Remediation Tracker'!K93),'Remediation Tracker'!K93&lt;TODAY(),'Remediation Tracker'!J93&lt;&gt;"Completed"),1000,0)+107-ROW('Remediation Tracker'!E93))</f>
        <v>0</v>
      </c>
    </row>
    <row r="117" spans="31:31">
      <c r="AE117">
        <f ca="1">IF(OR('Remediation Tracker'!E94="",AND('Remediation Tracker'!I94="Approved",'Remediation Tracker'!J94="Completed",ISNUMBER('Remediation Tracker'!L94),'Remediation Tracker'!L94&gt;0,'Remediation Tracker'!L94&lt;=TODAY(),'Remediation Tracker'!N94="Validated",IFERROR(AND('Remediation Tracker'!M94&lt;&gt;"",COUNTIF('Evidence Tracker'!$E$7:$E$106,'Remediation Tracker'!M94)=1,ISNUMBER(INDEX('Evidence Tracker'!$M$7:$M$106,MATCH('Remediation Tracker'!M94,'Evidence Tracker'!$E$7:$E$106,0))),LEN(TRIM(INDEX('Evidence Tracker'!$O$7:$O$106,MATCH('Remediation Tracker'!M94,'Evidence Tracker'!$E$7:$E$106,0))))&gt;0,LEN(TRIM(INDEX('Evidence Tracker'!$P$7:$P$106,MATCH('Remediation Tracker'!M94,'Evidence Tracker'!$E$7:$E$106,0))))&gt;0,COUNTIFS('Evidence Tracker'!$E$7:$E$106,'Remediation Tracker'!M94,'Evidence Tracker'!$F$7:$F$106,'Remediation Tracker'!F94,'Evidence Tracker'!$N$7:$N$106,"Reviewed",'Evidence Tracker'!$Q$7:$Q$106,"Validated",'Evidence Tracker'!$M$7:$M$106,"&gt;0",'Evidence Tracker'!$M$7:$M$106,"&lt;="&amp;TODAY())=1),FALSE))),0,IFERROR(INDEX('Risk Register'!$M$7:$M$106,MATCH('Remediation Tracker'!F94,'Risk Register'!$E$7:$E$106,0)),0)*10000+IF(AND(ISNUMBER('Remediation Tracker'!K94),'Remediation Tracker'!K94&lt;TODAY(),'Remediation Tracker'!J94&lt;&gt;"Completed"),1000,0)+107-ROW('Remediation Tracker'!E94))</f>
        <v>0</v>
      </c>
    </row>
    <row r="118" spans="31:31">
      <c r="AE118">
        <f ca="1">IF(OR('Remediation Tracker'!E95="",AND('Remediation Tracker'!I95="Approved",'Remediation Tracker'!J95="Completed",ISNUMBER('Remediation Tracker'!L95),'Remediation Tracker'!L95&gt;0,'Remediation Tracker'!L95&lt;=TODAY(),'Remediation Tracker'!N95="Validated",IFERROR(AND('Remediation Tracker'!M95&lt;&gt;"",COUNTIF('Evidence Tracker'!$E$7:$E$106,'Remediation Tracker'!M95)=1,ISNUMBER(INDEX('Evidence Tracker'!$M$7:$M$106,MATCH('Remediation Tracker'!M95,'Evidence Tracker'!$E$7:$E$106,0))),LEN(TRIM(INDEX('Evidence Tracker'!$O$7:$O$106,MATCH('Remediation Tracker'!M95,'Evidence Tracker'!$E$7:$E$106,0))))&gt;0,LEN(TRIM(INDEX('Evidence Tracker'!$P$7:$P$106,MATCH('Remediation Tracker'!M95,'Evidence Tracker'!$E$7:$E$106,0))))&gt;0,COUNTIFS('Evidence Tracker'!$E$7:$E$106,'Remediation Tracker'!M95,'Evidence Tracker'!$F$7:$F$106,'Remediation Tracker'!F95,'Evidence Tracker'!$N$7:$N$106,"Reviewed",'Evidence Tracker'!$Q$7:$Q$106,"Validated",'Evidence Tracker'!$M$7:$M$106,"&gt;0",'Evidence Tracker'!$M$7:$M$106,"&lt;="&amp;TODAY())=1),FALSE))),0,IFERROR(INDEX('Risk Register'!$M$7:$M$106,MATCH('Remediation Tracker'!F95,'Risk Register'!$E$7:$E$106,0)),0)*10000+IF(AND(ISNUMBER('Remediation Tracker'!K95),'Remediation Tracker'!K95&lt;TODAY(),'Remediation Tracker'!J95&lt;&gt;"Completed"),1000,0)+107-ROW('Remediation Tracker'!E95))</f>
        <v>0</v>
      </c>
    </row>
    <row r="119" spans="31:31">
      <c r="AE119">
        <f ca="1">IF(OR('Remediation Tracker'!E96="",AND('Remediation Tracker'!I96="Approved",'Remediation Tracker'!J96="Completed",ISNUMBER('Remediation Tracker'!L96),'Remediation Tracker'!L96&gt;0,'Remediation Tracker'!L96&lt;=TODAY(),'Remediation Tracker'!N96="Validated",IFERROR(AND('Remediation Tracker'!M96&lt;&gt;"",COUNTIF('Evidence Tracker'!$E$7:$E$106,'Remediation Tracker'!M96)=1,ISNUMBER(INDEX('Evidence Tracker'!$M$7:$M$106,MATCH('Remediation Tracker'!M96,'Evidence Tracker'!$E$7:$E$106,0))),LEN(TRIM(INDEX('Evidence Tracker'!$O$7:$O$106,MATCH('Remediation Tracker'!M96,'Evidence Tracker'!$E$7:$E$106,0))))&gt;0,LEN(TRIM(INDEX('Evidence Tracker'!$P$7:$P$106,MATCH('Remediation Tracker'!M96,'Evidence Tracker'!$E$7:$E$106,0))))&gt;0,COUNTIFS('Evidence Tracker'!$E$7:$E$106,'Remediation Tracker'!M96,'Evidence Tracker'!$F$7:$F$106,'Remediation Tracker'!F96,'Evidence Tracker'!$N$7:$N$106,"Reviewed",'Evidence Tracker'!$Q$7:$Q$106,"Validated",'Evidence Tracker'!$M$7:$M$106,"&gt;0",'Evidence Tracker'!$M$7:$M$106,"&lt;="&amp;TODAY())=1),FALSE))),0,IFERROR(INDEX('Risk Register'!$M$7:$M$106,MATCH('Remediation Tracker'!F96,'Risk Register'!$E$7:$E$106,0)),0)*10000+IF(AND(ISNUMBER('Remediation Tracker'!K96),'Remediation Tracker'!K96&lt;TODAY(),'Remediation Tracker'!J96&lt;&gt;"Completed"),1000,0)+107-ROW('Remediation Tracker'!E96))</f>
        <v>0</v>
      </c>
    </row>
    <row r="120" spans="31:31">
      <c r="AE120">
        <f ca="1">IF(OR('Remediation Tracker'!E97="",AND('Remediation Tracker'!I97="Approved",'Remediation Tracker'!J97="Completed",ISNUMBER('Remediation Tracker'!L97),'Remediation Tracker'!L97&gt;0,'Remediation Tracker'!L97&lt;=TODAY(),'Remediation Tracker'!N97="Validated",IFERROR(AND('Remediation Tracker'!M97&lt;&gt;"",COUNTIF('Evidence Tracker'!$E$7:$E$106,'Remediation Tracker'!M97)=1,ISNUMBER(INDEX('Evidence Tracker'!$M$7:$M$106,MATCH('Remediation Tracker'!M97,'Evidence Tracker'!$E$7:$E$106,0))),LEN(TRIM(INDEX('Evidence Tracker'!$O$7:$O$106,MATCH('Remediation Tracker'!M97,'Evidence Tracker'!$E$7:$E$106,0))))&gt;0,LEN(TRIM(INDEX('Evidence Tracker'!$P$7:$P$106,MATCH('Remediation Tracker'!M97,'Evidence Tracker'!$E$7:$E$106,0))))&gt;0,COUNTIFS('Evidence Tracker'!$E$7:$E$106,'Remediation Tracker'!M97,'Evidence Tracker'!$F$7:$F$106,'Remediation Tracker'!F97,'Evidence Tracker'!$N$7:$N$106,"Reviewed",'Evidence Tracker'!$Q$7:$Q$106,"Validated",'Evidence Tracker'!$M$7:$M$106,"&gt;0",'Evidence Tracker'!$M$7:$M$106,"&lt;="&amp;TODAY())=1),FALSE))),0,IFERROR(INDEX('Risk Register'!$M$7:$M$106,MATCH('Remediation Tracker'!F97,'Risk Register'!$E$7:$E$106,0)),0)*10000+IF(AND(ISNUMBER('Remediation Tracker'!K97),'Remediation Tracker'!K97&lt;TODAY(),'Remediation Tracker'!J97&lt;&gt;"Completed"),1000,0)+107-ROW('Remediation Tracker'!E97))</f>
        <v>0</v>
      </c>
    </row>
    <row r="121" spans="31:31">
      <c r="AE121">
        <f ca="1">IF(OR('Remediation Tracker'!E98="",AND('Remediation Tracker'!I98="Approved",'Remediation Tracker'!J98="Completed",ISNUMBER('Remediation Tracker'!L98),'Remediation Tracker'!L98&gt;0,'Remediation Tracker'!L98&lt;=TODAY(),'Remediation Tracker'!N98="Validated",IFERROR(AND('Remediation Tracker'!M98&lt;&gt;"",COUNTIF('Evidence Tracker'!$E$7:$E$106,'Remediation Tracker'!M98)=1,ISNUMBER(INDEX('Evidence Tracker'!$M$7:$M$106,MATCH('Remediation Tracker'!M98,'Evidence Tracker'!$E$7:$E$106,0))),LEN(TRIM(INDEX('Evidence Tracker'!$O$7:$O$106,MATCH('Remediation Tracker'!M98,'Evidence Tracker'!$E$7:$E$106,0))))&gt;0,LEN(TRIM(INDEX('Evidence Tracker'!$P$7:$P$106,MATCH('Remediation Tracker'!M98,'Evidence Tracker'!$E$7:$E$106,0))))&gt;0,COUNTIFS('Evidence Tracker'!$E$7:$E$106,'Remediation Tracker'!M98,'Evidence Tracker'!$F$7:$F$106,'Remediation Tracker'!F98,'Evidence Tracker'!$N$7:$N$106,"Reviewed",'Evidence Tracker'!$Q$7:$Q$106,"Validated",'Evidence Tracker'!$M$7:$M$106,"&gt;0",'Evidence Tracker'!$M$7:$M$106,"&lt;="&amp;TODAY())=1),FALSE))),0,IFERROR(INDEX('Risk Register'!$M$7:$M$106,MATCH('Remediation Tracker'!F98,'Risk Register'!$E$7:$E$106,0)),0)*10000+IF(AND(ISNUMBER('Remediation Tracker'!K98),'Remediation Tracker'!K98&lt;TODAY(),'Remediation Tracker'!J98&lt;&gt;"Completed"),1000,0)+107-ROW('Remediation Tracker'!E98))</f>
        <v>0</v>
      </c>
    </row>
    <row r="122" spans="31:31">
      <c r="AE122">
        <f ca="1">IF(OR('Remediation Tracker'!E99="",AND('Remediation Tracker'!I99="Approved",'Remediation Tracker'!J99="Completed",ISNUMBER('Remediation Tracker'!L99),'Remediation Tracker'!L99&gt;0,'Remediation Tracker'!L99&lt;=TODAY(),'Remediation Tracker'!N99="Validated",IFERROR(AND('Remediation Tracker'!M99&lt;&gt;"",COUNTIF('Evidence Tracker'!$E$7:$E$106,'Remediation Tracker'!M99)=1,ISNUMBER(INDEX('Evidence Tracker'!$M$7:$M$106,MATCH('Remediation Tracker'!M99,'Evidence Tracker'!$E$7:$E$106,0))),LEN(TRIM(INDEX('Evidence Tracker'!$O$7:$O$106,MATCH('Remediation Tracker'!M99,'Evidence Tracker'!$E$7:$E$106,0))))&gt;0,LEN(TRIM(INDEX('Evidence Tracker'!$P$7:$P$106,MATCH('Remediation Tracker'!M99,'Evidence Tracker'!$E$7:$E$106,0))))&gt;0,COUNTIFS('Evidence Tracker'!$E$7:$E$106,'Remediation Tracker'!M99,'Evidence Tracker'!$F$7:$F$106,'Remediation Tracker'!F99,'Evidence Tracker'!$N$7:$N$106,"Reviewed",'Evidence Tracker'!$Q$7:$Q$106,"Validated",'Evidence Tracker'!$M$7:$M$106,"&gt;0",'Evidence Tracker'!$M$7:$M$106,"&lt;="&amp;TODAY())=1),FALSE))),0,IFERROR(INDEX('Risk Register'!$M$7:$M$106,MATCH('Remediation Tracker'!F99,'Risk Register'!$E$7:$E$106,0)),0)*10000+IF(AND(ISNUMBER('Remediation Tracker'!K99),'Remediation Tracker'!K99&lt;TODAY(),'Remediation Tracker'!J99&lt;&gt;"Completed"),1000,0)+107-ROW('Remediation Tracker'!E99))</f>
        <v>0</v>
      </c>
    </row>
    <row r="123" spans="31:31">
      <c r="AE123">
        <f ca="1">IF(OR('Remediation Tracker'!E100="",AND('Remediation Tracker'!I100="Approved",'Remediation Tracker'!J100="Completed",ISNUMBER('Remediation Tracker'!L100),'Remediation Tracker'!L100&gt;0,'Remediation Tracker'!L100&lt;=TODAY(),'Remediation Tracker'!N100="Validated",IFERROR(AND('Remediation Tracker'!M100&lt;&gt;"",COUNTIF('Evidence Tracker'!$E$7:$E$106,'Remediation Tracker'!M100)=1,ISNUMBER(INDEX('Evidence Tracker'!$M$7:$M$106,MATCH('Remediation Tracker'!M100,'Evidence Tracker'!$E$7:$E$106,0))),LEN(TRIM(INDEX('Evidence Tracker'!$O$7:$O$106,MATCH('Remediation Tracker'!M100,'Evidence Tracker'!$E$7:$E$106,0))))&gt;0,LEN(TRIM(INDEX('Evidence Tracker'!$P$7:$P$106,MATCH('Remediation Tracker'!M100,'Evidence Tracker'!$E$7:$E$106,0))))&gt;0,COUNTIFS('Evidence Tracker'!$E$7:$E$106,'Remediation Tracker'!M100,'Evidence Tracker'!$F$7:$F$106,'Remediation Tracker'!F100,'Evidence Tracker'!$N$7:$N$106,"Reviewed",'Evidence Tracker'!$Q$7:$Q$106,"Validated",'Evidence Tracker'!$M$7:$M$106,"&gt;0",'Evidence Tracker'!$M$7:$M$106,"&lt;="&amp;TODAY())=1),FALSE))),0,IFERROR(INDEX('Risk Register'!$M$7:$M$106,MATCH('Remediation Tracker'!F100,'Risk Register'!$E$7:$E$106,0)),0)*10000+IF(AND(ISNUMBER('Remediation Tracker'!K100),'Remediation Tracker'!K100&lt;TODAY(),'Remediation Tracker'!J100&lt;&gt;"Completed"),1000,0)+107-ROW('Remediation Tracker'!E100))</f>
        <v>0</v>
      </c>
    </row>
    <row r="124" spans="31:31">
      <c r="AE124">
        <f ca="1">IF(OR('Remediation Tracker'!E101="",AND('Remediation Tracker'!I101="Approved",'Remediation Tracker'!J101="Completed",ISNUMBER('Remediation Tracker'!L101),'Remediation Tracker'!L101&gt;0,'Remediation Tracker'!L101&lt;=TODAY(),'Remediation Tracker'!N101="Validated",IFERROR(AND('Remediation Tracker'!M101&lt;&gt;"",COUNTIF('Evidence Tracker'!$E$7:$E$106,'Remediation Tracker'!M101)=1,ISNUMBER(INDEX('Evidence Tracker'!$M$7:$M$106,MATCH('Remediation Tracker'!M101,'Evidence Tracker'!$E$7:$E$106,0))),LEN(TRIM(INDEX('Evidence Tracker'!$O$7:$O$106,MATCH('Remediation Tracker'!M101,'Evidence Tracker'!$E$7:$E$106,0))))&gt;0,LEN(TRIM(INDEX('Evidence Tracker'!$P$7:$P$106,MATCH('Remediation Tracker'!M101,'Evidence Tracker'!$E$7:$E$106,0))))&gt;0,COUNTIFS('Evidence Tracker'!$E$7:$E$106,'Remediation Tracker'!M101,'Evidence Tracker'!$F$7:$F$106,'Remediation Tracker'!F101,'Evidence Tracker'!$N$7:$N$106,"Reviewed",'Evidence Tracker'!$Q$7:$Q$106,"Validated",'Evidence Tracker'!$M$7:$M$106,"&gt;0",'Evidence Tracker'!$M$7:$M$106,"&lt;="&amp;TODAY())=1),FALSE))),0,IFERROR(INDEX('Risk Register'!$M$7:$M$106,MATCH('Remediation Tracker'!F101,'Risk Register'!$E$7:$E$106,0)),0)*10000+IF(AND(ISNUMBER('Remediation Tracker'!K101),'Remediation Tracker'!K101&lt;TODAY(),'Remediation Tracker'!J101&lt;&gt;"Completed"),1000,0)+107-ROW('Remediation Tracker'!E101))</f>
        <v>0</v>
      </c>
    </row>
    <row r="125" spans="31:31">
      <c r="AE125">
        <f ca="1">IF(OR('Remediation Tracker'!E102="",AND('Remediation Tracker'!I102="Approved",'Remediation Tracker'!J102="Completed",ISNUMBER('Remediation Tracker'!L102),'Remediation Tracker'!L102&gt;0,'Remediation Tracker'!L102&lt;=TODAY(),'Remediation Tracker'!N102="Validated",IFERROR(AND('Remediation Tracker'!M102&lt;&gt;"",COUNTIF('Evidence Tracker'!$E$7:$E$106,'Remediation Tracker'!M102)=1,ISNUMBER(INDEX('Evidence Tracker'!$M$7:$M$106,MATCH('Remediation Tracker'!M102,'Evidence Tracker'!$E$7:$E$106,0))),LEN(TRIM(INDEX('Evidence Tracker'!$O$7:$O$106,MATCH('Remediation Tracker'!M102,'Evidence Tracker'!$E$7:$E$106,0))))&gt;0,LEN(TRIM(INDEX('Evidence Tracker'!$P$7:$P$106,MATCH('Remediation Tracker'!M102,'Evidence Tracker'!$E$7:$E$106,0))))&gt;0,COUNTIFS('Evidence Tracker'!$E$7:$E$106,'Remediation Tracker'!M102,'Evidence Tracker'!$F$7:$F$106,'Remediation Tracker'!F102,'Evidence Tracker'!$N$7:$N$106,"Reviewed",'Evidence Tracker'!$Q$7:$Q$106,"Validated",'Evidence Tracker'!$M$7:$M$106,"&gt;0",'Evidence Tracker'!$M$7:$M$106,"&lt;="&amp;TODAY())=1),FALSE))),0,IFERROR(INDEX('Risk Register'!$M$7:$M$106,MATCH('Remediation Tracker'!F102,'Risk Register'!$E$7:$E$106,0)),0)*10000+IF(AND(ISNUMBER('Remediation Tracker'!K102),'Remediation Tracker'!K102&lt;TODAY(),'Remediation Tracker'!J102&lt;&gt;"Completed"),1000,0)+107-ROW('Remediation Tracker'!E102))</f>
        <v>0</v>
      </c>
    </row>
    <row r="126" spans="31:31">
      <c r="AE126">
        <f ca="1">IF(OR('Remediation Tracker'!E103="",AND('Remediation Tracker'!I103="Approved",'Remediation Tracker'!J103="Completed",ISNUMBER('Remediation Tracker'!L103),'Remediation Tracker'!L103&gt;0,'Remediation Tracker'!L103&lt;=TODAY(),'Remediation Tracker'!N103="Validated",IFERROR(AND('Remediation Tracker'!M103&lt;&gt;"",COUNTIF('Evidence Tracker'!$E$7:$E$106,'Remediation Tracker'!M103)=1,ISNUMBER(INDEX('Evidence Tracker'!$M$7:$M$106,MATCH('Remediation Tracker'!M103,'Evidence Tracker'!$E$7:$E$106,0))),LEN(TRIM(INDEX('Evidence Tracker'!$O$7:$O$106,MATCH('Remediation Tracker'!M103,'Evidence Tracker'!$E$7:$E$106,0))))&gt;0,LEN(TRIM(INDEX('Evidence Tracker'!$P$7:$P$106,MATCH('Remediation Tracker'!M103,'Evidence Tracker'!$E$7:$E$106,0))))&gt;0,COUNTIFS('Evidence Tracker'!$E$7:$E$106,'Remediation Tracker'!M103,'Evidence Tracker'!$F$7:$F$106,'Remediation Tracker'!F103,'Evidence Tracker'!$N$7:$N$106,"Reviewed",'Evidence Tracker'!$Q$7:$Q$106,"Validated",'Evidence Tracker'!$M$7:$M$106,"&gt;0",'Evidence Tracker'!$M$7:$M$106,"&lt;="&amp;TODAY())=1),FALSE))),0,IFERROR(INDEX('Risk Register'!$M$7:$M$106,MATCH('Remediation Tracker'!F103,'Risk Register'!$E$7:$E$106,0)),0)*10000+IF(AND(ISNUMBER('Remediation Tracker'!K103),'Remediation Tracker'!K103&lt;TODAY(),'Remediation Tracker'!J103&lt;&gt;"Completed"),1000,0)+107-ROW('Remediation Tracker'!E103))</f>
        <v>0</v>
      </c>
    </row>
    <row r="127" spans="31:31">
      <c r="AE127">
        <f ca="1">IF(OR('Remediation Tracker'!E104="",AND('Remediation Tracker'!I104="Approved",'Remediation Tracker'!J104="Completed",ISNUMBER('Remediation Tracker'!L104),'Remediation Tracker'!L104&gt;0,'Remediation Tracker'!L104&lt;=TODAY(),'Remediation Tracker'!N104="Validated",IFERROR(AND('Remediation Tracker'!M104&lt;&gt;"",COUNTIF('Evidence Tracker'!$E$7:$E$106,'Remediation Tracker'!M104)=1,ISNUMBER(INDEX('Evidence Tracker'!$M$7:$M$106,MATCH('Remediation Tracker'!M104,'Evidence Tracker'!$E$7:$E$106,0))),LEN(TRIM(INDEX('Evidence Tracker'!$O$7:$O$106,MATCH('Remediation Tracker'!M104,'Evidence Tracker'!$E$7:$E$106,0))))&gt;0,LEN(TRIM(INDEX('Evidence Tracker'!$P$7:$P$106,MATCH('Remediation Tracker'!M104,'Evidence Tracker'!$E$7:$E$106,0))))&gt;0,COUNTIFS('Evidence Tracker'!$E$7:$E$106,'Remediation Tracker'!M104,'Evidence Tracker'!$F$7:$F$106,'Remediation Tracker'!F104,'Evidence Tracker'!$N$7:$N$106,"Reviewed",'Evidence Tracker'!$Q$7:$Q$106,"Validated",'Evidence Tracker'!$M$7:$M$106,"&gt;0",'Evidence Tracker'!$M$7:$M$106,"&lt;="&amp;TODAY())=1),FALSE))),0,IFERROR(INDEX('Risk Register'!$M$7:$M$106,MATCH('Remediation Tracker'!F104,'Risk Register'!$E$7:$E$106,0)),0)*10000+IF(AND(ISNUMBER('Remediation Tracker'!K104),'Remediation Tracker'!K104&lt;TODAY(),'Remediation Tracker'!J104&lt;&gt;"Completed"),1000,0)+107-ROW('Remediation Tracker'!E104))</f>
        <v>0</v>
      </c>
    </row>
    <row r="128" spans="31:31">
      <c r="AE128">
        <f ca="1">IF(OR('Remediation Tracker'!E105="",AND('Remediation Tracker'!I105="Approved",'Remediation Tracker'!J105="Completed",ISNUMBER('Remediation Tracker'!L105),'Remediation Tracker'!L105&gt;0,'Remediation Tracker'!L105&lt;=TODAY(),'Remediation Tracker'!N105="Validated",IFERROR(AND('Remediation Tracker'!M105&lt;&gt;"",COUNTIF('Evidence Tracker'!$E$7:$E$106,'Remediation Tracker'!M105)=1,ISNUMBER(INDEX('Evidence Tracker'!$M$7:$M$106,MATCH('Remediation Tracker'!M105,'Evidence Tracker'!$E$7:$E$106,0))),LEN(TRIM(INDEX('Evidence Tracker'!$O$7:$O$106,MATCH('Remediation Tracker'!M105,'Evidence Tracker'!$E$7:$E$106,0))))&gt;0,LEN(TRIM(INDEX('Evidence Tracker'!$P$7:$P$106,MATCH('Remediation Tracker'!M105,'Evidence Tracker'!$E$7:$E$106,0))))&gt;0,COUNTIFS('Evidence Tracker'!$E$7:$E$106,'Remediation Tracker'!M105,'Evidence Tracker'!$F$7:$F$106,'Remediation Tracker'!F105,'Evidence Tracker'!$N$7:$N$106,"Reviewed",'Evidence Tracker'!$Q$7:$Q$106,"Validated",'Evidence Tracker'!$M$7:$M$106,"&gt;0",'Evidence Tracker'!$M$7:$M$106,"&lt;="&amp;TODAY())=1),FALSE))),0,IFERROR(INDEX('Risk Register'!$M$7:$M$106,MATCH('Remediation Tracker'!F105,'Risk Register'!$E$7:$E$106,0)),0)*10000+IF(AND(ISNUMBER('Remediation Tracker'!K105),'Remediation Tracker'!K105&lt;TODAY(),'Remediation Tracker'!J105&lt;&gt;"Completed"),1000,0)+107-ROW('Remediation Tracker'!E105))</f>
        <v>0</v>
      </c>
    </row>
    <row r="129" spans="31:31">
      <c r="AE129">
        <f ca="1">IF(OR('Remediation Tracker'!E106="",AND('Remediation Tracker'!I106="Approved",'Remediation Tracker'!J106="Completed",ISNUMBER('Remediation Tracker'!L106),'Remediation Tracker'!L106&gt;0,'Remediation Tracker'!L106&lt;=TODAY(),'Remediation Tracker'!N106="Validated",IFERROR(AND('Remediation Tracker'!M106&lt;&gt;"",COUNTIF('Evidence Tracker'!$E$7:$E$106,'Remediation Tracker'!M106)=1,ISNUMBER(INDEX('Evidence Tracker'!$M$7:$M$106,MATCH('Remediation Tracker'!M106,'Evidence Tracker'!$E$7:$E$106,0))),LEN(TRIM(INDEX('Evidence Tracker'!$O$7:$O$106,MATCH('Remediation Tracker'!M106,'Evidence Tracker'!$E$7:$E$106,0))))&gt;0,LEN(TRIM(INDEX('Evidence Tracker'!$P$7:$P$106,MATCH('Remediation Tracker'!M106,'Evidence Tracker'!$E$7:$E$106,0))))&gt;0,COUNTIFS('Evidence Tracker'!$E$7:$E$106,'Remediation Tracker'!M106,'Evidence Tracker'!$F$7:$F$106,'Remediation Tracker'!F106,'Evidence Tracker'!$N$7:$N$106,"Reviewed",'Evidence Tracker'!$Q$7:$Q$106,"Validated",'Evidence Tracker'!$M$7:$M$106,"&gt;0",'Evidence Tracker'!$M$7:$M$106,"&lt;="&amp;TODAY())=1),FALSE))),0,IFERROR(INDEX('Risk Register'!$M$7:$M$106,MATCH('Remediation Tracker'!F106,'Risk Register'!$E$7:$E$106,0)),0)*10000+IF(AND(ISNUMBER('Remediation Tracker'!K106),'Remediation Tracker'!K106&lt;TODAY(),'Remediation Tracker'!J106&lt;&gt;"Completed"),1000,0)+107-ROW('Remediation Tracker'!E106))</f>
        <v>0</v>
      </c>
    </row>
  </sheetData>
  <mergeCells count="226">
    <mergeCell ref="F5:AB5"/>
    <mergeCell ref="L7:Q7"/>
    <mergeCell ref="T6:AB6"/>
    <mergeCell ref="T7:Y7"/>
    <mergeCell ref="L10:P11"/>
    <mergeCell ref="L6:Q6"/>
    <mergeCell ref="R32:X33"/>
    <mergeCell ref="Y32:AB33"/>
    <mergeCell ref="R35:AB37"/>
    <mergeCell ref="F15:P15"/>
    <mergeCell ref="R15:AB15"/>
    <mergeCell ref="R24:AB25"/>
    <mergeCell ref="F28:P28"/>
    <mergeCell ref="F30:P30"/>
    <mergeCell ref="R30:AB30"/>
    <mergeCell ref="F8:AB8"/>
    <mergeCell ref="F10:J11"/>
    <mergeCell ref="F12:J13"/>
    <mergeCell ref="L12:P13"/>
    <mergeCell ref="R10:V11"/>
    <mergeCell ref="R12:V13"/>
    <mergeCell ref="X10:AB11"/>
    <mergeCell ref="X12:AB13"/>
    <mergeCell ref="F52:AB52"/>
    <mergeCell ref="F53:AB54"/>
    <mergeCell ref="F55:AB56"/>
    <mergeCell ref="F57:AB58"/>
    <mergeCell ref="F60:AB60"/>
    <mergeCell ref="F59:AB59"/>
    <mergeCell ref="R29:W29"/>
    <mergeCell ref="X29:AB29"/>
    <mergeCell ref="F46:AB46"/>
    <mergeCell ref="F48:J48"/>
    <mergeCell ref="F49:J50"/>
    <mergeCell ref="L48:P48"/>
    <mergeCell ref="L49:P50"/>
    <mergeCell ref="R48:V48"/>
    <mergeCell ref="R49:V50"/>
    <mergeCell ref="X48:AB48"/>
    <mergeCell ref="X49:AB50"/>
    <mergeCell ref="F43:AB44"/>
    <mergeCell ref="R39:Z39"/>
    <mergeCell ref="R40:Z40"/>
    <mergeCell ref="V61:X61"/>
    <mergeCell ref="Y61:AB61"/>
    <mergeCell ref="F62:G62"/>
    <mergeCell ref="H62:L62"/>
    <mergeCell ref="M62:N62"/>
    <mergeCell ref="O62:R62"/>
    <mergeCell ref="S62:U62"/>
    <mergeCell ref="V62:X62"/>
    <mergeCell ref="Y62:AB62"/>
    <mergeCell ref="F61:G61"/>
    <mergeCell ref="H61:L61"/>
    <mergeCell ref="M61:N61"/>
    <mergeCell ref="O61:R61"/>
    <mergeCell ref="S61:U61"/>
    <mergeCell ref="V63:X63"/>
    <mergeCell ref="Y63:AB63"/>
    <mergeCell ref="F64:G64"/>
    <mergeCell ref="H64:L64"/>
    <mergeCell ref="M64:N64"/>
    <mergeCell ref="O64:R64"/>
    <mergeCell ref="S64:U64"/>
    <mergeCell ref="V64:X64"/>
    <mergeCell ref="Y64:AB64"/>
    <mergeCell ref="F63:G63"/>
    <mergeCell ref="H63:L63"/>
    <mergeCell ref="M63:N63"/>
    <mergeCell ref="O63:R63"/>
    <mergeCell ref="S63:U63"/>
    <mergeCell ref="V65:X65"/>
    <mergeCell ref="Y65:AB65"/>
    <mergeCell ref="F66:G66"/>
    <mergeCell ref="H66:L66"/>
    <mergeCell ref="M66:N66"/>
    <mergeCell ref="O66:R66"/>
    <mergeCell ref="S66:U66"/>
    <mergeCell ref="V66:X66"/>
    <mergeCell ref="Y66:AB66"/>
    <mergeCell ref="F65:G65"/>
    <mergeCell ref="H65:L65"/>
    <mergeCell ref="M65:N65"/>
    <mergeCell ref="O65:R65"/>
    <mergeCell ref="S65:U65"/>
    <mergeCell ref="V67:X67"/>
    <mergeCell ref="Y67:AB67"/>
    <mergeCell ref="F68:G68"/>
    <mergeCell ref="H68:L68"/>
    <mergeCell ref="M68:N68"/>
    <mergeCell ref="O68:R68"/>
    <mergeCell ref="S68:U68"/>
    <mergeCell ref="V68:X68"/>
    <mergeCell ref="Y68:AB68"/>
    <mergeCell ref="F67:G67"/>
    <mergeCell ref="H67:L67"/>
    <mergeCell ref="M67:N67"/>
    <mergeCell ref="O67:R67"/>
    <mergeCell ref="S67:U67"/>
    <mergeCell ref="V69:X69"/>
    <mergeCell ref="Y69:AB69"/>
    <mergeCell ref="F70:G70"/>
    <mergeCell ref="H70:L70"/>
    <mergeCell ref="M70:N70"/>
    <mergeCell ref="O70:R70"/>
    <mergeCell ref="S70:U70"/>
    <mergeCell ref="V70:X70"/>
    <mergeCell ref="Y70:AB70"/>
    <mergeCell ref="F69:G69"/>
    <mergeCell ref="H69:L69"/>
    <mergeCell ref="M69:N69"/>
    <mergeCell ref="O69:R69"/>
    <mergeCell ref="S69:U69"/>
    <mergeCell ref="V71:X71"/>
    <mergeCell ref="Y71:AB71"/>
    <mergeCell ref="F73:P73"/>
    <mergeCell ref="R73:AB73"/>
    <mergeCell ref="F74:M74"/>
    <mergeCell ref="N74:P74"/>
    <mergeCell ref="F71:G71"/>
    <mergeCell ref="H71:L71"/>
    <mergeCell ref="M71:N71"/>
    <mergeCell ref="O71:R71"/>
    <mergeCell ref="S71:U71"/>
    <mergeCell ref="F79:P80"/>
    <mergeCell ref="R79:AB80"/>
    <mergeCell ref="R81:AB81"/>
    <mergeCell ref="F82:AB82"/>
    <mergeCell ref="F83:AB83"/>
    <mergeCell ref="F78:M78"/>
    <mergeCell ref="N78:P78"/>
    <mergeCell ref="R74:Y74"/>
    <mergeCell ref="Z74:AB74"/>
    <mergeCell ref="R75:Y75"/>
    <mergeCell ref="Z75:AB75"/>
    <mergeCell ref="R76:Y76"/>
    <mergeCell ref="Z76:AB76"/>
    <mergeCell ref="R77:Y77"/>
    <mergeCell ref="Z77:AB77"/>
    <mergeCell ref="R78:Y78"/>
    <mergeCell ref="Z78:AB78"/>
    <mergeCell ref="F75:M75"/>
    <mergeCell ref="N75:P75"/>
    <mergeCell ref="F76:M76"/>
    <mergeCell ref="N76:P76"/>
    <mergeCell ref="F77:M77"/>
    <mergeCell ref="N77:P77"/>
    <mergeCell ref="V84:X84"/>
    <mergeCell ref="Y84:AB84"/>
    <mergeCell ref="F85:G85"/>
    <mergeCell ref="H85:L85"/>
    <mergeCell ref="M85:N85"/>
    <mergeCell ref="O85:R85"/>
    <mergeCell ref="S85:U85"/>
    <mergeCell ref="V85:X85"/>
    <mergeCell ref="Y85:AB85"/>
    <mergeCell ref="F84:G84"/>
    <mergeCell ref="H84:L84"/>
    <mergeCell ref="M84:N84"/>
    <mergeCell ref="O84:R84"/>
    <mergeCell ref="S84:U84"/>
    <mergeCell ref="V86:X86"/>
    <mergeCell ref="Y86:AB86"/>
    <mergeCell ref="F87:G87"/>
    <mergeCell ref="H87:L87"/>
    <mergeCell ref="M87:N87"/>
    <mergeCell ref="O87:R87"/>
    <mergeCell ref="S87:U87"/>
    <mergeCell ref="V87:X87"/>
    <mergeCell ref="Y87:AB87"/>
    <mergeCell ref="F86:G86"/>
    <mergeCell ref="H86:L86"/>
    <mergeCell ref="M86:N86"/>
    <mergeCell ref="O86:R86"/>
    <mergeCell ref="S86:U86"/>
    <mergeCell ref="V88:X88"/>
    <mergeCell ref="Y88:AB88"/>
    <mergeCell ref="F89:G89"/>
    <mergeCell ref="H89:L89"/>
    <mergeCell ref="M89:N89"/>
    <mergeCell ref="O89:R89"/>
    <mergeCell ref="S89:U89"/>
    <mergeCell ref="V89:X89"/>
    <mergeCell ref="Y89:AB89"/>
    <mergeCell ref="F88:G88"/>
    <mergeCell ref="H88:L88"/>
    <mergeCell ref="M88:N88"/>
    <mergeCell ref="O88:R88"/>
    <mergeCell ref="S88:U88"/>
    <mergeCell ref="Y90:AB90"/>
    <mergeCell ref="F91:G91"/>
    <mergeCell ref="H91:L91"/>
    <mergeCell ref="M91:N91"/>
    <mergeCell ref="O91:R91"/>
    <mergeCell ref="S91:U91"/>
    <mergeCell ref="V91:X91"/>
    <mergeCell ref="Y91:AB91"/>
    <mergeCell ref="F90:G90"/>
    <mergeCell ref="H90:L90"/>
    <mergeCell ref="M90:N90"/>
    <mergeCell ref="O90:R90"/>
    <mergeCell ref="S90:U90"/>
    <mergeCell ref="V94:X94"/>
    <mergeCell ref="Y94:AB94"/>
    <mergeCell ref="F96:AB96"/>
    <mergeCell ref="A1:D96"/>
    <mergeCell ref="F94:G94"/>
    <mergeCell ref="H94:L94"/>
    <mergeCell ref="M94:N94"/>
    <mergeCell ref="O94:R94"/>
    <mergeCell ref="S94:U94"/>
    <mergeCell ref="V92:X92"/>
    <mergeCell ref="Y92:AB92"/>
    <mergeCell ref="F93:G93"/>
    <mergeCell ref="H93:L93"/>
    <mergeCell ref="M93:N93"/>
    <mergeCell ref="O93:R93"/>
    <mergeCell ref="S93:U93"/>
    <mergeCell ref="V93:X93"/>
    <mergeCell ref="Y93:AB93"/>
    <mergeCell ref="F92:G92"/>
    <mergeCell ref="H92:L92"/>
    <mergeCell ref="M92:N92"/>
    <mergeCell ref="O92:R92"/>
    <mergeCell ref="S92:U92"/>
    <mergeCell ref="V90:X90"/>
  </mergeCells>
  <conditionalFormatting sqref="V18:Z22">
    <cfRule type="expression" dxfId="39" priority="101">
      <formula>$U18*V$17&lt;$AE$16</formula>
    </cfRule>
    <cfRule type="expression" dxfId="38" priority="102">
      <formula>AND($U18*V$17&gt;=$AE$16,$U18*V$17&lt;$AF$16)</formula>
    </cfRule>
    <cfRule type="expression" dxfId="37" priority="103">
      <formula>AND($U18*V$17&gt;=$AF$16,$U18*V$17&lt;$AG$16)</formula>
    </cfRule>
    <cfRule type="expression" dxfId="36" priority="104">
      <formula>$U18*V$17&gt;=$AG$16</formula>
    </cfRule>
    <cfRule type="expression" dxfId="35" priority="205">
      <formula>$U18*V$17&lt;$AE$16</formula>
    </cfRule>
    <cfRule type="expression" dxfId="34" priority="206">
      <formula>AND($U18*V$17&gt;=$AE$16,$U18*V$17&lt;$AF$16)</formula>
    </cfRule>
    <cfRule type="expression" dxfId="33" priority="207">
      <formula>AND($U18*V$17&gt;=$AF$16,$U18*V$17&lt;$AG$16)</formula>
    </cfRule>
    <cfRule type="expression" dxfId="32" priority="208">
      <formula>$U18*V$17&gt;=$AG$16</formula>
    </cfRule>
  </conditionalFormatting>
  <conditionalFormatting sqref="Y32:AB33">
    <cfRule type="expression" dxfId="31" priority="305">
      <formula>$AE$17="Low"</formula>
    </cfRule>
    <cfRule type="expression" dxfId="30" priority="306">
      <formula>$AE$17="Moderate"</formula>
    </cfRule>
    <cfRule type="expression" dxfId="29" priority="307">
      <formula>$AE$17="High"</formula>
    </cfRule>
    <cfRule type="expression" dxfId="28" priority="308">
      <formula>$AE$17="Critical"</formula>
    </cfRule>
  </conditionalFormatting>
  <dataValidations count="3">
    <dataValidation type="list" allowBlank="1" showErrorMessage="1" errorTitle="Select an allowed option" error="Choose a dropdown value or leave an unknown input blank." sqref="L7" xr:uid="{00000000-0002-0000-0000-000000000000}">
      <formula1>"All,Pending validation,Validated,Rejected"</formula1>
    </dataValidation>
    <dataValidation type="list" allowBlank="1" showErrorMessage="1" errorTitle="Select an allowed option" error="Choose a dropdown value or leave an unknown input blank." sqref="T7" xr:uid="{00000000-0002-0000-0000-000001000000}">
      <formula1>"All,Low,Moderate,High,Critical"</formula1>
    </dataValidation>
    <dataValidation type="list" sqref="X29" xr:uid="{00000000-0002-0000-0000-000002000000}">
      <formula1>RiskIDs</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02F47"/>
  </sheetPr>
  <dimension ref="A1:Y110"/>
  <sheetViews>
    <sheetView showGridLines="0" zoomScale="70" zoomScaleNormal="70" workbookViewId="0">
      <pane xSplit="6" ySplit="6" topLeftCell="G7" activePane="bottomRight" state="frozen"/>
      <selection pane="topRight"/>
      <selection pane="bottomLeft"/>
      <selection pane="bottomRight" activeCell="G7" sqref="G7"/>
    </sheetView>
  </sheetViews>
  <sheetFormatPr defaultRowHeight="14.25"/>
  <cols>
    <col min="1" max="4" width="7.25" customWidth="1"/>
    <col min="5" max="5" width="10.125" customWidth="1"/>
    <col min="6" max="6" width="27.125" bestFit="1" customWidth="1"/>
    <col min="7" max="8" width="47.875" bestFit="1" customWidth="1"/>
    <col min="9" max="9" width="25" customWidth="1"/>
    <col min="10" max="10" width="16.625" bestFit="1" customWidth="1"/>
    <col min="11" max="11" width="13.5" customWidth="1"/>
    <col min="12" max="12" width="10.75" customWidth="1"/>
    <col min="13" max="13" width="16" bestFit="1" customWidth="1"/>
    <col min="14" max="14" width="16.25" bestFit="1" customWidth="1"/>
    <col min="15" max="15" width="29.125" customWidth="1"/>
    <col min="16" max="16" width="11.5" bestFit="1" customWidth="1"/>
    <col min="17" max="17" width="18.375" bestFit="1" customWidth="1"/>
    <col min="18" max="18" width="17.125" bestFit="1" customWidth="1"/>
    <col min="19" max="19" width="14.375" bestFit="1" customWidth="1"/>
    <col min="20" max="20" width="20.5" bestFit="1" customWidth="1"/>
    <col min="21" max="21" width="17.5" bestFit="1" customWidth="1"/>
    <col min="22" max="22" width="16.375" bestFit="1" customWidth="1"/>
    <col min="23" max="23" width="16.5" bestFit="1" customWidth="1"/>
    <col min="24" max="24" width="45" customWidth="1"/>
    <col min="25" max="25" width="21.75" bestFit="1" customWidth="1"/>
  </cols>
  <sheetData>
    <row r="1" spans="1:25" ht="28.5" customHeight="1">
      <c r="A1" s="18"/>
      <c r="B1" s="18"/>
      <c r="C1" s="18"/>
      <c r="D1" s="18"/>
      <c r="E1" s="14"/>
      <c r="F1" s="14"/>
      <c r="G1" s="14"/>
      <c r="H1" s="14"/>
      <c r="I1" s="14"/>
      <c r="J1" s="14"/>
      <c r="K1" s="14"/>
      <c r="L1" s="14"/>
      <c r="M1" s="14"/>
      <c r="N1" s="14"/>
      <c r="O1" s="14"/>
      <c r="P1" s="14"/>
      <c r="Q1" s="14"/>
      <c r="R1" s="14"/>
      <c r="S1" s="14"/>
      <c r="T1" s="14"/>
      <c r="U1" s="14"/>
      <c r="V1" s="14"/>
      <c r="W1" s="14"/>
      <c r="X1" s="14"/>
      <c r="Y1" s="14"/>
    </row>
    <row r="2" spans="1:25" ht="28.5" customHeight="1">
      <c r="A2" s="18"/>
      <c r="B2" s="18"/>
      <c r="C2" s="18"/>
      <c r="D2" s="18"/>
      <c r="E2" s="14"/>
      <c r="F2" s="14"/>
      <c r="G2" s="14"/>
      <c r="H2" s="14"/>
      <c r="I2" s="14"/>
      <c r="J2" s="14"/>
      <c r="K2" s="14"/>
      <c r="L2" s="14"/>
      <c r="M2" s="14"/>
      <c r="N2" s="14"/>
      <c r="O2" s="14"/>
      <c r="P2" s="14"/>
      <c r="Q2" s="14"/>
      <c r="R2" s="14"/>
      <c r="S2" s="14"/>
      <c r="T2" s="14"/>
      <c r="U2" s="14"/>
      <c r="V2" s="14"/>
      <c r="W2" s="14"/>
      <c r="X2" s="14"/>
      <c r="Y2" s="14"/>
    </row>
    <row r="3" spans="1:25" ht="15" customHeight="1">
      <c r="A3" s="18"/>
      <c r="B3" s="18"/>
      <c r="C3" s="18"/>
      <c r="D3" s="18"/>
      <c r="E3" s="15"/>
      <c r="F3" s="15"/>
      <c r="G3" s="15"/>
      <c r="H3" s="15"/>
      <c r="I3" s="15"/>
      <c r="J3" s="15"/>
      <c r="K3" s="15"/>
      <c r="L3" s="15"/>
      <c r="M3" s="15"/>
      <c r="N3" s="15"/>
      <c r="O3" s="15"/>
      <c r="P3" s="15"/>
      <c r="Q3" s="15"/>
      <c r="R3" s="15"/>
      <c r="S3" s="15"/>
      <c r="T3" s="15"/>
      <c r="U3" s="15"/>
      <c r="V3" s="15"/>
      <c r="W3" s="15"/>
      <c r="X3" s="15"/>
      <c r="Y3" s="15"/>
    </row>
    <row r="4" spans="1:25" ht="15" customHeight="1">
      <c r="A4" s="18"/>
      <c r="B4" s="18"/>
      <c r="C4" s="18"/>
      <c r="D4" s="18"/>
      <c r="E4" s="15"/>
      <c r="F4" s="15"/>
      <c r="G4" s="15"/>
      <c r="H4" s="15"/>
      <c r="I4" s="15"/>
      <c r="J4" s="15"/>
      <c r="K4" s="15"/>
      <c r="L4" s="15"/>
      <c r="M4" s="15"/>
      <c r="N4" s="15"/>
      <c r="O4" s="15"/>
      <c r="P4" s="15"/>
      <c r="Q4" s="15"/>
      <c r="R4" s="15"/>
      <c r="S4" s="15"/>
      <c r="T4" s="15"/>
      <c r="U4" s="15"/>
      <c r="V4" s="15"/>
      <c r="W4" s="15"/>
      <c r="X4" s="15"/>
      <c r="Y4" s="15"/>
    </row>
    <row r="5" spans="1:25">
      <c r="A5" s="18"/>
      <c r="B5" s="18"/>
      <c r="C5" s="18"/>
      <c r="D5" s="18"/>
      <c r="E5" s="28" t="s">
        <v>230</v>
      </c>
      <c r="F5" s="28"/>
      <c r="G5" s="28"/>
      <c r="H5" s="28"/>
      <c r="I5" s="28"/>
      <c r="J5" s="28"/>
      <c r="K5" s="28"/>
      <c r="L5" s="28"/>
      <c r="M5" s="28"/>
      <c r="N5" s="28"/>
      <c r="O5" s="28"/>
      <c r="P5" s="28"/>
      <c r="Q5" s="28"/>
      <c r="R5" s="28"/>
      <c r="S5" s="28"/>
      <c r="T5" s="28"/>
      <c r="U5" s="28"/>
      <c r="V5" s="28"/>
      <c r="W5" s="28"/>
      <c r="X5" s="28"/>
      <c r="Y5" s="28"/>
    </row>
    <row r="6" spans="1:25" ht="15">
      <c r="A6" s="18"/>
      <c r="B6" s="18"/>
      <c r="C6" s="18"/>
      <c r="D6" s="18"/>
      <c r="E6" s="27" t="s">
        <v>28</v>
      </c>
      <c r="F6" s="27" t="s">
        <v>29</v>
      </c>
      <c r="G6" s="27" t="s">
        <v>30</v>
      </c>
      <c r="H6" s="27" t="s">
        <v>31</v>
      </c>
      <c r="I6" s="27" t="s">
        <v>32</v>
      </c>
      <c r="J6" s="27" t="s">
        <v>33</v>
      </c>
      <c r="K6" s="27" t="s">
        <v>34</v>
      </c>
      <c r="L6" s="27" t="s">
        <v>35</v>
      </c>
      <c r="M6" s="27" t="s">
        <v>36</v>
      </c>
      <c r="N6" s="27" t="s">
        <v>37</v>
      </c>
      <c r="O6" s="27" t="s">
        <v>38</v>
      </c>
      <c r="P6" s="27" t="s">
        <v>39</v>
      </c>
      <c r="Q6" s="27" t="s">
        <v>40</v>
      </c>
      <c r="R6" s="27" t="s">
        <v>41</v>
      </c>
      <c r="S6" s="27" t="s">
        <v>42</v>
      </c>
      <c r="T6" s="27" t="s">
        <v>43</v>
      </c>
      <c r="U6" s="27" t="s">
        <v>44</v>
      </c>
      <c r="V6" s="27" t="s">
        <v>45</v>
      </c>
      <c r="W6" s="27" t="s">
        <v>46</v>
      </c>
      <c r="X6" s="27" t="s">
        <v>47</v>
      </c>
      <c r="Y6" s="27" t="s">
        <v>48</v>
      </c>
    </row>
    <row r="7" spans="1:25" ht="228">
      <c r="A7" s="18"/>
      <c r="B7" s="18"/>
      <c r="C7" s="18"/>
      <c r="D7" s="18"/>
      <c r="E7" s="3" t="s">
        <v>49</v>
      </c>
      <c r="F7" s="3" t="s">
        <v>50</v>
      </c>
      <c r="G7" s="3" t="s">
        <v>51</v>
      </c>
      <c r="H7" s="3" t="s">
        <v>52</v>
      </c>
      <c r="I7" s="3" t="s">
        <v>53</v>
      </c>
      <c r="J7" s="3" t="s">
        <v>54</v>
      </c>
      <c r="K7" s="3">
        <v>3</v>
      </c>
      <c r="L7" s="3">
        <v>4</v>
      </c>
      <c r="M7" s="4">
        <f t="shared" ref="M7:M38" si="0">IF(E7="","",IF(OR(K7="",L7=""),"",IF(AND(ISNUMBER(K7),ISNUMBER(L7),K7&gt;=1,K7&lt;=5,L7&gt;=1,L7&lt;=5,MOD(K7,1)=0,MOD(L7,1)=0),K7*L7,"Invalid input")))</f>
        <v>12</v>
      </c>
      <c r="N7" s="4" t="str">
        <f>IF(M7="","",IFERROR(IF(AND(ISNUMBER('Scoring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Methodology'!$F$18,1)=0),IF(ISNUMBER(M7),IF(M7&lt;'Scoring Methodology'!$F$16,"Low",IF(M7&lt;'Scoring Methodology'!$F$17,"Moderate",IF(M7&lt;'Scoring Methodology'!$F$18,"High","Critical"))),"Invalid input"),"Invalid thresholds"),"Invalid thresholds"))</f>
        <v>High</v>
      </c>
      <c r="O7" s="3" t="s">
        <v>113</v>
      </c>
      <c r="P7" s="3" t="s">
        <v>55</v>
      </c>
      <c r="Q7" s="3" t="s">
        <v>56</v>
      </c>
      <c r="R7" s="3" t="s">
        <v>57</v>
      </c>
      <c r="S7" s="3" t="s">
        <v>75</v>
      </c>
      <c r="T7" s="3"/>
      <c r="U7" s="3"/>
      <c r="V7" s="4" t="str">
        <f t="shared" ref="V7:V38" si="1">IF(E7="","",IF(OR(T7="",U7=""),"",IF(AND(ISNUMBER(T7),ISNUMBER(U7),T7&gt;=1,T7&lt;=5,U7&gt;=1,U7&lt;=5,MOD(T7,1)=0,MOD(U7,1)=0),T7*U7,"Invalid input")))</f>
        <v/>
      </c>
      <c r="W7" s="4" t="str">
        <f>IF(V7="","",IFERROR(IF(AND(ISNUMBER('Scoring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Methodology'!$F$18,1)=0),IF(ISNUMBER(V7),IF(V7&lt;'Scoring Methodology'!$F$16,"Low",IF(V7&lt;'Scoring Methodology'!$F$17,"Moderate",IF(V7&lt;'Scoring Methodology'!$F$18,"High","Critical"))),"Invalid input"),"Invalid thresholds"),"Invalid thresholds"))</f>
        <v/>
      </c>
      <c r="X7" s="3" t="str">
        <f>IF(E7="","",IF(AND(ISNUMBER(M7),OR(N7="Low",N7="Moderate",N7="High",N7="Critical")),"Provisional assessment: Likelihood "&amp;K7&amp;"/5 ("&amp;INDEX('Scoring Methodology'!$F$9:$F$13,K7)&amp;") and Impact "&amp;L7&amp;"/5 ("&amp;INDEX('Scoring Methodology'!$G$9:$G$13,L7)&amp;"), resulting in a "&amp;N7&amp;" risk score of "&amp;M7&amp;"/25. ","Provisional assessment: score unavailable; check likelihood, impact and scoring thresholds. ")&amp;_xlfn._LONGTEXT("Inconsistent MFA enforcement increases the possibility of unauthorized account access if credentials are compromised. Potential consequences include exposure of sensitive records, operational disruption, and contractual or financial impacts. Recommend enf","orcing MFA across applicable accounts, prioritizing privileged access, reviewing approved exceptions, and monitoring authentication activity. Validate through identity-provider configurations, account-level MFA coverage reports, exception records, and rel","evant authentication logs. No compromise or confirmed control failure beyond the stated MFA gap has been established."))</f>
        <v>Provisional assessment: Likelihood 3/5 (Possible) and Impact 4/5 (Major), resulting in a High risk score of 12/25. Inconsistent MFA enforcement increases the possibility of unauthorized account access if credentials are compromised. Potential consequences include exposure of sensitive records, operational disruption, and contractual or financial impacts. Recommend enforcing MFA across applicable accounts, prioritizing privileged access, reviewing approved exceptions, and monitoring authentication activity. Validate through identity-provider configurations, account-level MFA coverage reports, exception records, and relevant authentication logs. No compromise or confirmed control failure beyond the stated MFA gap has been established.</v>
      </c>
      <c r="Y7" s="4">
        <f>IF(E7="",0,IF(AND(OR(Dashboard!$L$7="All",Q7=Dashboard!$L$7),OR(Dashboard!$T$7="All",N7=Dashboard!$T$7)),1,0))</f>
        <v>1</v>
      </c>
    </row>
    <row r="8" spans="1:25" ht="213.75">
      <c r="A8" s="18"/>
      <c r="B8" s="18"/>
      <c r="C8" s="18"/>
      <c r="D8" s="18"/>
      <c r="E8" s="3" t="s">
        <v>58</v>
      </c>
      <c r="F8" s="3" t="s">
        <v>59</v>
      </c>
      <c r="G8" s="3" t="s">
        <v>60</v>
      </c>
      <c r="H8" s="3" t="s">
        <v>61</v>
      </c>
      <c r="I8" s="3" t="s">
        <v>227</v>
      </c>
      <c r="J8" s="3" t="s">
        <v>54</v>
      </c>
      <c r="K8" s="3">
        <v>3</v>
      </c>
      <c r="L8" s="3">
        <v>4</v>
      </c>
      <c r="M8" s="4">
        <f t="shared" si="0"/>
        <v>12</v>
      </c>
      <c r="N8" s="4" t="str">
        <f>IF(M8="","",IFERROR(IF(AND(ISNUMBER('Scoring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Methodology'!$F$18,1)=0),IF(ISNUMBER(M8),IF(M8&lt;'Scoring Methodology'!$F$16,"Low",IF(M8&lt;'Scoring Methodology'!$F$17,"Moderate",IF(M8&lt;'Scoring Methodology'!$F$18,"High","Critical"))),"Invalid input"),"Invalid thresholds"),"Invalid thresholds"))</f>
        <v>High</v>
      </c>
      <c r="O8" s="3" t="s">
        <v>207</v>
      </c>
      <c r="P8" s="3" t="s">
        <v>55</v>
      </c>
      <c r="Q8" s="3" t="s">
        <v>56</v>
      </c>
      <c r="R8" s="3" t="s">
        <v>57</v>
      </c>
      <c r="S8" s="3" t="s">
        <v>81</v>
      </c>
      <c r="T8" s="3"/>
      <c r="U8" s="3"/>
      <c r="V8" s="4" t="str">
        <f t="shared" si="1"/>
        <v/>
      </c>
      <c r="W8" s="4" t="str">
        <f>IF(V8="","",IFERROR(IF(AND(ISNUMBER('Scoring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Methodology'!$F$18,1)=0),IF(ISNUMBER(V8),IF(V8&lt;'Scoring Methodology'!$F$16,"Low",IF(V8&lt;'Scoring Methodology'!$F$17,"Moderate",IF(V8&lt;'Scoring Methodology'!$F$18,"High","Critical"))),"Invalid input"),"Invalid thresholds"),"Invalid thresholds"))</f>
        <v/>
      </c>
      <c r="X8" s="24" t="str">
        <f>IF(E8="","",IF(AND(ISNUMBER(M8),OR(N8="Low",N8="Moderate",N8="High",N8="Critical")),"Provisional assessment: Likelihood "&amp;K8&amp;"/5 ("&amp;INDEX('Scoring Methodology'!$F$9:$F$13,K8)&amp;") and Impact "&amp;L8&amp;"/5 ("&amp;INDEX('Scoring Methodology'!$G$9:$G$13,L8)&amp;"), resulting in a "&amp;N8&amp;" risk score of "&amp;M8&amp;"/25. ","Provisional assessment: score unavailable; check likelihood, impact and scoring thresholds. ")&amp;_xlfn._LONGTEXT("Suspected excessive permissions could allow employees or compromised accounts to access, modify, or disclose sensitive information beyond legitimate business requirements. Recommend validating current permissions against documented job responsibilities, r","emoving unjustified access, enforcing least privilege, and establishing periodic access reviews. Request permission exports, role definitions, access approvals, group memberships, and prior review records. The extent of excessive access, effectiveness of ","existing controls, and any actual unauthorized disclosure remain unverified."))</f>
        <v>Provisional assessment: Likelihood 3/5 (Possible) and Impact 4/5 (Major), resulting in a High risk score of 12/25. Suspected excessive permissions could allow employees or compromised accounts to access, modify, or disclose sensitive information beyond legitimate business requirements. Recommend validating current permissions against documented job responsibilities, removing unjustified access, enforcing least privilege, and establishing periodic access reviews. Request permission exports, role definitions, access approvals, group memberships, and prior review records. The extent of excessive access, effectiveness of existing controls, and any actual unauthorized disclosure remain unverified.</v>
      </c>
      <c r="Y8" s="4">
        <f>IF(E8="",0,IF(AND(OR(Dashboard!$L$7="All",Q8=Dashboard!$L$7),OR(Dashboard!$T$7="All",N8=Dashboard!$T$7)),1,0))</f>
        <v>1</v>
      </c>
    </row>
    <row r="9" spans="1:25" ht="256.5">
      <c r="A9" s="18"/>
      <c r="B9" s="18"/>
      <c r="C9" s="18"/>
      <c r="D9" s="18"/>
      <c r="E9" s="3" t="s">
        <v>185</v>
      </c>
      <c r="F9" s="3" t="s">
        <v>186</v>
      </c>
      <c r="G9" s="24" t="s">
        <v>187</v>
      </c>
      <c r="H9" s="24" t="s">
        <v>188</v>
      </c>
      <c r="I9" s="24" t="s">
        <v>190</v>
      </c>
      <c r="J9" s="3" t="s">
        <v>54</v>
      </c>
      <c r="K9" s="3">
        <v>3</v>
      </c>
      <c r="L9" s="3">
        <v>4</v>
      </c>
      <c r="M9" s="4">
        <f t="shared" si="0"/>
        <v>12</v>
      </c>
      <c r="N9" s="4" t="str">
        <f>IF(M9="","",IFERROR(IF(AND(ISNUMBER('Scoring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Methodology'!$F$18,1)=0),IF(ISNUMBER(M9),IF(M9&lt;'Scoring Methodology'!$F$16,"Low",IF(M9&lt;'Scoring Methodology'!$F$17,"Moderate",IF(M9&lt;'Scoring Methodology'!$F$18,"High","Critical"))),"Invalid input"),"Invalid thresholds"),"Invalid thresholds"))</f>
        <v>High</v>
      </c>
      <c r="O9" s="3" t="s">
        <v>206</v>
      </c>
      <c r="P9" s="3" t="s">
        <v>55</v>
      </c>
      <c r="Q9" s="3" t="s">
        <v>56</v>
      </c>
      <c r="R9" s="3" t="s">
        <v>57</v>
      </c>
      <c r="S9" s="3" t="s">
        <v>195</v>
      </c>
      <c r="T9" s="3"/>
      <c r="U9" s="3"/>
      <c r="V9" s="4" t="str">
        <f t="shared" si="1"/>
        <v/>
      </c>
      <c r="W9" s="4" t="str">
        <f>IF(V9="","",IFERROR(IF(AND(ISNUMBER('Scoring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Methodology'!$F$18,1)=0),IF(ISNUMBER(V9),IF(V9&lt;'Scoring Methodology'!$F$16,"Low",IF(V9&lt;'Scoring Methodology'!$F$17,"Moderate",IF(V9&lt;'Scoring Methodology'!$F$18,"High","Critical"))),"Invalid input"),"Invalid thresholds"),"Invalid thresholds"))</f>
        <v/>
      </c>
      <c r="X9" s="24" t="str">
        <f>IF(E9="","",IF(AND(ISNUMBER(M9),OR(N9="Low",N9="Moderate",N9="High",N9="Critical")),"Provisional assessment: Likelihood "&amp;K9&amp;"/5 ("&amp;INDEX('Scoring Methodology'!$F$9:$F$13,K9)&amp;") and Impact "&amp;L9&amp;"/5 ("&amp;INDEX('Scoring Methodology'!$G$9:$G$13,L9)&amp;"), resulting in a "&amp;N9&amp;" risk score of "&amp;M9&amp;"/25. ","Provisional assessment: score unavailable; check likelihood, impact and scoring thresholds. ")&amp;_xlfn._LONGTEXT("Shared administrator accounts used by an external IT support vendor may reduce individual accountability and complicate access revocation. Unauthorized use or compromise of privileged credentials could result in system changes, disclosure of accessible in","formation, or operational disruption. Recommend confirming account scope and authorized users, replacing shared access with individually attributable privileged identities where feasible, enforcing appropriate MFA and least privilege, and reviewing privil","eged activity monitoring. Validate using privileged-account inventories, vendor access approvals, account permissions, MFA configurations, and dated administrative activity records. No unauthorized activity or incident has been established."))</f>
        <v>Provisional assessment: Likelihood 3/5 (Possible) and Impact 4/5 (Major), resulting in a High risk score of 12/25. Shared administrator accounts used by an external IT support vendor may reduce individual accountability and complicate access revocation. Unauthorized use or compromise of privileged credentials could result in system changes, disclosure of accessible information, or operational disruption. Recommend confirming account scope and authorized users, replacing shared access with individually attributable privileged identities where feasible, enforcing appropriate MFA and least privilege, and reviewing privileged activity monitoring. Validate using privileged-account inventories, vendor access approvals, account permissions, MFA configurations, and dated administrative activity records. No unauthorized activity or incident has been established.</v>
      </c>
      <c r="Y9" s="4">
        <f>IF(E9="",0,IF(AND(OR(Dashboard!$L$7="All",Q9=Dashboard!$L$7),OR(Dashboard!$T$7="All",N9=Dashboard!$T$7)),1,0))</f>
        <v>1</v>
      </c>
    </row>
    <row r="10" spans="1:25" ht="270.75">
      <c r="A10" s="18"/>
      <c r="B10" s="18"/>
      <c r="C10" s="18"/>
      <c r="D10" s="18"/>
      <c r="E10" s="3" t="s">
        <v>203</v>
      </c>
      <c r="F10" s="3" t="s">
        <v>204</v>
      </c>
      <c r="G10" s="3" t="s">
        <v>209</v>
      </c>
      <c r="H10" s="3" t="s">
        <v>210</v>
      </c>
      <c r="I10" s="3" t="s">
        <v>211</v>
      </c>
      <c r="J10" s="3" t="s">
        <v>205</v>
      </c>
      <c r="K10" s="3">
        <v>3</v>
      </c>
      <c r="L10" s="3">
        <v>4</v>
      </c>
      <c r="M10" s="4">
        <f t="shared" si="0"/>
        <v>12</v>
      </c>
      <c r="N10" s="4" t="str">
        <f>IF(M10="","",IFERROR(IF(AND(ISNUMBER('Scoring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Methodology'!$F$18,1)=0),IF(ISNUMBER(M10),IF(M10&lt;'Scoring Methodology'!$F$16,"Low",IF(M10&lt;'Scoring Methodology'!$F$17,"Moderate",IF(M10&lt;'Scoring Methodology'!$F$18,"High","Critical"))),"Invalid input"),"Invalid thresholds"),"Invalid thresholds"))</f>
        <v>High</v>
      </c>
      <c r="O10" s="3" t="s">
        <v>206</v>
      </c>
      <c r="P10" s="3" t="s">
        <v>55</v>
      </c>
      <c r="Q10" s="3" t="s">
        <v>56</v>
      </c>
      <c r="R10" s="3" t="s">
        <v>57</v>
      </c>
      <c r="S10" s="3" t="s">
        <v>208</v>
      </c>
      <c r="T10" s="3"/>
      <c r="U10" s="3"/>
      <c r="V10" s="4" t="str">
        <f t="shared" si="1"/>
        <v/>
      </c>
      <c r="W10" s="4" t="str">
        <f>IF(V10="","",IFERROR(IF(AND(ISNUMBER('Scoring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Methodology'!$F$18,1)=0),IF(ISNUMBER(V10),IF(V10&lt;'Scoring Methodology'!$F$16,"Low",IF(V10&lt;'Scoring Methodology'!$F$17,"Moderate",IF(V10&lt;'Scoring Methodology'!$F$18,"High","Critical"))),"Invalid input"),"Invalid thresholds"),"Invalid thresholds"))</f>
        <v/>
      </c>
      <c r="X10" s="3" t="str">
        <f>IF(E10="","",IF(AND(ISNUMBER(M10),OR(N10="Low",N10="Moderate",N10="High",N10="Critical")),"Provisional assessment: Likelihood "&amp;K10&amp;"/5 ("&amp;INDEX('Scoring Methodology'!$F$9:$F$13,K10)&amp;") and Impact "&amp;L10&amp;"/5 ("&amp;INDEX('Scoring Methodology'!$G$9:$G$13,L10)&amp;"), resulting in a "&amp;N10&amp;" risk score of "&amp;M10&amp;"/25. ","Provisional assessment: score unavailable; check likelihood, impact and scoring thresholds. ")&amp;_xlfn._LONGTEXT("The absence of a documented cybersecurity risk register may limit consistent identification, prioritization, ownership, escalation, and monitoring of cybersecurity risks. A material risk could consequently be overlooked or addressed late, potentially cont","ributing to operational disruption, financial loss, or contractual consequences. Recommend establishing a formal enterprise cybersecurity risk register supported by documented assessment criteria, assigned risk owners, treatment decisions, periodic review","s, escalation thresholds, and management reporting. Validate through existing policies, risk records, leadership meeting records, assigned responsibilities, and evidence of risk review and escalation practices. Other governance processes, actual consequen","ces, and control effectiveness remain unverified."))</f>
        <v>Provisional assessment: Likelihood 3/5 (Possible) and Impact 4/5 (Major), resulting in a High risk score of 12/25. The absence of a documented cybersecurity risk register may limit consistent identification, prioritization, ownership, escalation, and monitoring of cybersecurity risks. A material risk could consequently be overlooked or addressed late, potentially contributing to operational disruption, financial loss, or contractual consequences. Recommend establishing a formal enterprise cybersecurity risk register supported by documented assessment criteria, assigned risk owners, treatment decisions, periodic reviews, escalation thresholds, and management reporting. Validate through existing policies, risk records, leadership meeting records, assigned responsibilities, and evidence of risk review and escalation practices. Other governance processes, actual consequences, and control effectiveness remain unverified.</v>
      </c>
      <c r="Y10" s="4">
        <f>IF(E10="",0,IF(AND(OR(Dashboard!$L$7="All",Q10=Dashboard!$L$7),OR(Dashboard!$T$7="All",N10=Dashboard!$T$7)),1,0))</f>
        <v>1</v>
      </c>
    </row>
    <row r="11" spans="1:25" ht="26.1" customHeight="1">
      <c r="A11" s="18"/>
      <c r="B11" s="18"/>
      <c r="C11" s="18"/>
      <c r="D11" s="18"/>
      <c r="E11" s="3"/>
      <c r="F11" s="3"/>
      <c r="G11" s="3"/>
      <c r="H11" s="3"/>
      <c r="I11" s="3"/>
      <c r="J11" s="3"/>
      <c r="K11" s="3"/>
      <c r="L11" s="3"/>
      <c r="M11" s="4" t="str">
        <f t="shared" si="0"/>
        <v/>
      </c>
      <c r="N11" s="4" t="str">
        <f>IF(M11="","",IFERROR(IF(AND(ISNUMBER('Scoring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Methodology'!$F$18,1)=0),IF(ISNUMBER(M11),IF(M11&lt;'Scoring Methodology'!$F$16,"Low",IF(M11&lt;'Scoring Methodology'!$F$17,"Moderate",IF(M11&lt;'Scoring Methodology'!$F$18,"High","Critical"))),"Invalid input"),"Invalid thresholds"),"Invalid thresholds"))</f>
        <v/>
      </c>
      <c r="O11" s="3"/>
      <c r="P11" s="3"/>
      <c r="Q11" s="3"/>
      <c r="R11" s="3"/>
      <c r="S11" s="3"/>
      <c r="T11" s="3"/>
      <c r="U11" s="3"/>
      <c r="V11" s="4" t="str">
        <f t="shared" si="1"/>
        <v/>
      </c>
      <c r="W11" s="4" t="str">
        <f>IF(V11="","",IFERROR(IF(AND(ISNUMBER('Scoring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Methodology'!$F$18,1)=0),IF(ISNUMBER(V11),IF(V11&lt;'Scoring Methodology'!$F$16,"Low",IF(V11&lt;'Scoring Methodology'!$F$17,"Moderate",IF(V11&lt;'Scoring Methodology'!$F$18,"High","Critical"))),"Invalid input"),"Invalid thresholds"),"Invalid thresholds"))</f>
        <v/>
      </c>
      <c r="X11" s="3"/>
      <c r="Y11" s="4">
        <f>IF(E11="",0,IF(AND(OR(Dashboard!$L$7="All",Q11=Dashboard!$L$7),OR(Dashboard!$T$7="All",N11=Dashboard!$T$7)),1,0))</f>
        <v>0</v>
      </c>
    </row>
    <row r="12" spans="1:25" ht="26.1" customHeight="1">
      <c r="A12" s="18"/>
      <c r="B12" s="18"/>
      <c r="C12" s="18"/>
      <c r="D12" s="18"/>
      <c r="E12" s="3"/>
      <c r="F12" s="3"/>
      <c r="G12" s="3"/>
      <c r="H12" s="24"/>
      <c r="I12" s="3"/>
      <c r="J12" s="3"/>
      <c r="K12" s="3"/>
      <c r="L12" s="3"/>
      <c r="M12" s="4" t="str">
        <f t="shared" si="0"/>
        <v/>
      </c>
      <c r="N12" s="4" t="str">
        <f>IF(M12="","",IFERROR(IF(AND(ISNUMBER('Scoring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Methodology'!$F$18,1)=0),IF(ISNUMBER(M12),IF(M12&lt;'Scoring Methodology'!$F$16,"Low",IF(M12&lt;'Scoring Methodology'!$F$17,"Moderate",IF(M12&lt;'Scoring Methodology'!$F$18,"High","Critical"))),"Invalid input"),"Invalid thresholds"),"Invalid thresholds"))</f>
        <v/>
      </c>
      <c r="O12" s="3"/>
      <c r="P12" s="3"/>
      <c r="Q12" s="3"/>
      <c r="R12" s="3"/>
      <c r="S12" s="3"/>
      <c r="T12" s="3"/>
      <c r="U12" s="3"/>
      <c r="V12" s="4" t="str">
        <f t="shared" si="1"/>
        <v/>
      </c>
      <c r="W12" s="4" t="str">
        <f>IF(V12="","",IFERROR(IF(AND(ISNUMBER('Scoring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Methodology'!$F$18,1)=0),IF(ISNUMBER(V12),IF(V12&lt;'Scoring Methodology'!$F$16,"Low",IF(V12&lt;'Scoring Methodology'!$F$17,"Moderate",IF(V12&lt;'Scoring Methodology'!$F$18,"High","Critical"))),"Invalid input"),"Invalid thresholds"),"Invalid thresholds"))</f>
        <v/>
      </c>
      <c r="X12" s="24"/>
      <c r="Y12" s="4">
        <f>IF(E12="",0,IF(AND(OR(Dashboard!$L$7="All",Q12=Dashboard!$L$7),OR(Dashboard!$T$7="All",N12=Dashboard!$T$7)),1,0))</f>
        <v>0</v>
      </c>
    </row>
    <row r="13" spans="1:25" ht="26.1" customHeight="1">
      <c r="A13" s="18"/>
      <c r="B13" s="18"/>
      <c r="C13" s="18"/>
      <c r="D13" s="18"/>
      <c r="E13" s="3"/>
      <c r="F13" s="3"/>
      <c r="G13" s="3"/>
      <c r="H13" s="3"/>
      <c r="I13" s="3"/>
      <c r="J13" s="3"/>
      <c r="K13" s="3"/>
      <c r="L13" s="3"/>
      <c r="M13" s="4" t="str">
        <f t="shared" si="0"/>
        <v/>
      </c>
      <c r="N13" s="4" t="str">
        <f>IF(M13="","",IFERROR(IF(AND(ISNUMBER('Scoring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Methodology'!$F$18,1)=0),IF(ISNUMBER(M13),IF(M13&lt;'Scoring Methodology'!$F$16,"Low",IF(M13&lt;'Scoring Methodology'!$F$17,"Moderate",IF(M13&lt;'Scoring Methodology'!$F$18,"High","Critical"))),"Invalid input"),"Invalid thresholds"),"Invalid thresholds"))</f>
        <v/>
      </c>
      <c r="O13" s="3"/>
      <c r="P13" s="3"/>
      <c r="Q13" s="3"/>
      <c r="R13" s="3"/>
      <c r="S13" s="3"/>
      <c r="T13" s="3"/>
      <c r="U13" s="3"/>
      <c r="V13" s="4" t="str">
        <f t="shared" si="1"/>
        <v/>
      </c>
      <c r="W13" s="4" t="str">
        <f>IF(V13="","",IFERROR(IF(AND(ISNUMBER('Scoring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Methodology'!$F$18,1)=0),IF(ISNUMBER(V13),IF(V13&lt;'Scoring Methodology'!$F$16,"Low",IF(V13&lt;'Scoring Methodology'!$F$17,"Moderate",IF(V13&lt;'Scoring Methodology'!$F$18,"High","Critical"))),"Invalid input"),"Invalid thresholds"),"Invalid thresholds"))</f>
        <v/>
      </c>
      <c r="X13" s="3"/>
      <c r="Y13" s="4">
        <f>IF(E13="",0,IF(AND(OR(Dashboard!$L$7="All",Q13=Dashboard!$L$7),OR(Dashboard!$T$7="All",N13=Dashboard!$T$7)),1,0))</f>
        <v>0</v>
      </c>
    </row>
    <row r="14" spans="1:25" ht="26.1" customHeight="1">
      <c r="A14" s="18"/>
      <c r="B14" s="18"/>
      <c r="C14" s="18"/>
      <c r="D14" s="18"/>
      <c r="E14" s="3"/>
      <c r="F14" s="3"/>
      <c r="G14" s="3"/>
      <c r="H14" s="3"/>
      <c r="I14" s="3"/>
      <c r="J14" s="3"/>
      <c r="K14" s="3"/>
      <c r="L14" s="3"/>
      <c r="M14" s="4" t="str">
        <f t="shared" si="0"/>
        <v/>
      </c>
      <c r="N14" s="4" t="str">
        <f>IF(M14="","",IFERROR(IF(AND(ISNUMBER('Scoring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Methodology'!$F$18,1)=0),IF(ISNUMBER(M14),IF(M14&lt;'Scoring Methodology'!$F$16,"Low",IF(M14&lt;'Scoring Methodology'!$F$17,"Moderate",IF(M14&lt;'Scoring Methodology'!$F$18,"High","Critical"))),"Invalid input"),"Invalid thresholds"),"Invalid thresholds"))</f>
        <v/>
      </c>
      <c r="O14" s="3"/>
      <c r="P14" s="3"/>
      <c r="Q14" s="3"/>
      <c r="R14" s="3"/>
      <c r="S14" s="3"/>
      <c r="T14" s="3"/>
      <c r="U14" s="3"/>
      <c r="V14" s="4" t="str">
        <f t="shared" si="1"/>
        <v/>
      </c>
      <c r="W14" s="4" t="str">
        <f>IF(V14="","",IFERROR(IF(AND(ISNUMBER('Scoring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Methodology'!$F$18,1)=0),IF(ISNUMBER(V14),IF(V14&lt;'Scoring Methodology'!$F$16,"Low",IF(V14&lt;'Scoring Methodology'!$F$17,"Moderate",IF(V14&lt;'Scoring Methodology'!$F$18,"High","Critical"))),"Invalid input"),"Invalid thresholds"),"Invalid thresholds"))</f>
        <v/>
      </c>
      <c r="X14" s="3"/>
      <c r="Y14" s="4">
        <f>IF(E14="",0,IF(AND(OR(Dashboard!$L$7="All",Q14=Dashboard!$L$7),OR(Dashboard!$T$7="All",N14=Dashboard!$T$7)),1,0))</f>
        <v>0</v>
      </c>
    </row>
    <row r="15" spans="1:25" ht="26.1" customHeight="1">
      <c r="A15" s="18"/>
      <c r="B15" s="18"/>
      <c r="C15" s="18"/>
      <c r="D15" s="18"/>
      <c r="E15" s="3"/>
      <c r="F15" s="3"/>
      <c r="G15" s="3"/>
      <c r="H15" s="24" t="s">
        <v>189</v>
      </c>
      <c r="I15" s="3"/>
      <c r="J15" s="3"/>
      <c r="K15" s="3"/>
      <c r="L15" s="3"/>
      <c r="M15" s="4" t="str">
        <f t="shared" si="0"/>
        <v/>
      </c>
      <c r="N15" s="4" t="str">
        <f>IF(M15="","",IFERROR(IF(AND(ISNUMBER('Scoring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Methodology'!$F$18,1)=0),IF(ISNUMBER(M15),IF(M15&lt;'Scoring Methodology'!$F$16,"Low",IF(M15&lt;'Scoring Methodology'!$F$17,"Moderate",IF(M15&lt;'Scoring Methodology'!$F$18,"High","Critical"))),"Invalid input"),"Invalid thresholds"),"Invalid thresholds"))</f>
        <v/>
      </c>
      <c r="O15" s="3"/>
      <c r="P15" s="3"/>
      <c r="Q15" s="3"/>
      <c r="R15" s="3"/>
      <c r="S15" s="3"/>
      <c r="T15" s="3"/>
      <c r="U15" s="3"/>
      <c r="V15" s="4" t="str">
        <f t="shared" si="1"/>
        <v/>
      </c>
      <c r="W15" s="4" t="str">
        <f>IF(V15="","",IFERROR(IF(AND(ISNUMBER('Scoring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Methodology'!$F$18,1)=0),IF(ISNUMBER(V15),IF(V15&lt;'Scoring Methodology'!$F$16,"Low",IF(V15&lt;'Scoring Methodology'!$F$17,"Moderate",IF(V15&lt;'Scoring Methodology'!$F$18,"High","Critical"))),"Invalid input"),"Invalid thresholds"),"Invalid thresholds"))</f>
        <v/>
      </c>
      <c r="X15" s="3"/>
      <c r="Y15" s="4">
        <f>IF(E15="",0,IF(AND(OR(Dashboard!$L$7="All",Q15=Dashboard!$L$7),OR(Dashboard!$T$7="All",N15=Dashboard!$T$7)),1,0))</f>
        <v>0</v>
      </c>
    </row>
    <row r="16" spans="1:25" ht="26.1" customHeight="1">
      <c r="A16" s="18"/>
      <c r="B16" s="18"/>
      <c r="C16" s="18"/>
      <c r="D16" s="18"/>
      <c r="E16" s="3"/>
      <c r="F16" s="3"/>
      <c r="G16" s="3"/>
      <c r="H16" s="3"/>
      <c r="I16" s="3"/>
      <c r="J16" s="3"/>
      <c r="K16" s="3"/>
      <c r="L16" s="3"/>
      <c r="M16" s="4" t="str">
        <f t="shared" si="0"/>
        <v/>
      </c>
      <c r="N16" s="4" t="str">
        <f>IF(M16="","",IFERROR(IF(AND(ISNUMBER('Scoring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Methodology'!$F$18,1)=0),IF(ISNUMBER(M16),IF(M16&lt;'Scoring Methodology'!$F$16,"Low",IF(M16&lt;'Scoring Methodology'!$F$17,"Moderate",IF(M16&lt;'Scoring Methodology'!$F$18,"High","Critical"))),"Invalid input"),"Invalid thresholds"),"Invalid thresholds"))</f>
        <v/>
      </c>
      <c r="O16" s="3"/>
      <c r="P16" s="3"/>
      <c r="Q16" s="3"/>
      <c r="R16" s="3"/>
      <c r="S16" s="3"/>
      <c r="T16" s="3"/>
      <c r="U16" s="3"/>
      <c r="V16" s="4" t="str">
        <f t="shared" si="1"/>
        <v/>
      </c>
      <c r="W16" s="4" t="str">
        <f>IF(V16="","",IFERROR(IF(AND(ISNUMBER('Scoring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Methodology'!$F$18,1)=0),IF(ISNUMBER(V16),IF(V16&lt;'Scoring Methodology'!$F$16,"Low",IF(V16&lt;'Scoring Methodology'!$F$17,"Moderate",IF(V16&lt;'Scoring Methodology'!$F$18,"High","Critical"))),"Invalid input"),"Invalid thresholds"),"Invalid thresholds"))</f>
        <v/>
      </c>
      <c r="X16" s="3"/>
      <c r="Y16" s="4">
        <f>IF(E16="",0,IF(AND(OR(Dashboard!$L$7="All",Q16=Dashboard!$L$7),OR(Dashboard!$T$7="All",N16=Dashboard!$T$7)),1,0))</f>
        <v>0</v>
      </c>
    </row>
    <row r="17" spans="1:25" ht="26.1" customHeight="1">
      <c r="A17" s="18"/>
      <c r="B17" s="18"/>
      <c r="C17" s="18"/>
      <c r="D17" s="18"/>
      <c r="E17" s="3"/>
      <c r="F17" s="3"/>
      <c r="G17" s="3"/>
      <c r="H17" s="3"/>
      <c r="I17" s="3"/>
      <c r="J17" s="3"/>
      <c r="K17" s="3"/>
      <c r="L17" s="3"/>
      <c r="M17" s="4" t="str">
        <f t="shared" si="0"/>
        <v/>
      </c>
      <c r="N17" s="4" t="str">
        <f>IF(M17="","",IFERROR(IF(AND(ISNUMBER('Scoring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Methodology'!$F$18,1)=0),IF(ISNUMBER(M17),IF(M17&lt;'Scoring Methodology'!$F$16,"Low",IF(M17&lt;'Scoring Methodology'!$F$17,"Moderate",IF(M17&lt;'Scoring Methodology'!$F$18,"High","Critical"))),"Invalid input"),"Invalid thresholds"),"Invalid thresholds"))</f>
        <v/>
      </c>
      <c r="O17" s="3"/>
      <c r="P17" s="3"/>
      <c r="Q17" s="3"/>
      <c r="R17" s="3"/>
      <c r="S17" s="3"/>
      <c r="T17" s="3"/>
      <c r="U17" s="3"/>
      <c r="V17" s="4" t="str">
        <f t="shared" si="1"/>
        <v/>
      </c>
      <c r="W17" s="4" t="str">
        <f>IF(V17="","",IFERROR(IF(AND(ISNUMBER('Scoring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Methodology'!$F$18,1)=0),IF(ISNUMBER(V17),IF(V17&lt;'Scoring Methodology'!$F$16,"Low",IF(V17&lt;'Scoring Methodology'!$F$17,"Moderate",IF(V17&lt;'Scoring Methodology'!$F$18,"High","Critical"))),"Invalid input"),"Invalid thresholds"),"Invalid thresholds"))</f>
        <v/>
      </c>
      <c r="X17" s="3"/>
      <c r="Y17" s="4">
        <f>IF(E17="",0,IF(AND(OR(Dashboard!$L$7="All",Q17=Dashboard!$L$7),OR(Dashboard!$T$7="All",N17=Dashboard!$T$7)),1,0))</f>
        <v>0</v>
      </c>
    </row>
    <row r="18" spans="1:25" ht="26.1" customHeight="1">
      <c r="A18" s="18"/>
      <c r="B18" s="18"/>
      <c r="C18" s="18"/>
      <c r="D18" s="18"/>
      <c r="E18" s="3"/>
      <c r="F18" s="3"/>
      <c r="G18" s="3"/>
      <c r="H18" s="3"/>
      <c r="I18" s="3"/>
      <c r="J18" s="3"/>
      <c r="K18" s="3"/>
      <c r="L18" s="3"/>
      <c r="M18" s="4" t="str">
        <f t="shared" si="0"/>
        <v/>
      </c>
      <c r="N18" s="4" t="str">
        <f>IF(M18="","",IFERROR(IF(AND(ISNUMBER('Scoring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Methodology'!$F$18,1)=0),IF(ISNUMBER(M18),IF(M18&lt;'Scoring Methodology'!$F$16,"Low",IF(M18&lt;'Scoring Methodology'!$F$17,"Moderate",IF(M18&lt;'Scoring Methodology'!$F$18,"High","Critical"))),"Invalid input"),"Invalid thresholds"),"Invalid thresholds"))</f>
        <v/>
      </c>
      <c r="O18" s="3"/>
      <c r="P18" s="3"/>
      <c r="Q18" s="3"/>
      <c r="R18" s="3"/>
      <c r="S18" s="3"/>
      <c r="T18" s="3"/>
      <c r="U18" s="3"/>
      <c r="V18" s="4" t="str">
        <f t="shared" si="1"/>
        <v/>
      </c>
      <c r="W18" s="4" t="str">
        <f>IF(V18="","",IFERROR(IF(AND(ISNUMBER('Scoring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Methodology'!$F$18,1)=0),IF(ISNUMBER(V18),IF(V18&lt;'Scoring Methodology'!$F$16,"Low",IF(V18&lt;'Scoring Methodology'!$F$17,"Moderate",IF(V18&lt;'Scoring Methodology'!$F$18,"High","Critical"))),"Invalid input"),"Invalid thresholds"),"Invalid thresholds"))</f>
        <v/>
      </c>
      <c r="X18" s="3"/>
      <c r="Y18" s="4">
        <f>IF(E18="",0,IF(AND(OR(Dashboard!$L$7="All",Q18=Dashboard!$L$7),OR(Dashboard!$T$7="All",N18=Dashboard!$T$7)),1,0))</f>
        <v>0</v>
      </c>
    </row>
    <row r="19" spans="1:25" ht="26.1" customHeight="1">
      <c r="A19" s="18"/>
      <c r="B19" s="18"/>
      <c r="C19" s="18"/>
      <c r="D19" s="18"/>
      <c r="E19" s="3"/>
      <c r="F19" s="3"/>
      <c r="G19" s="3"/>
      <c r="H19" s="3"/>
      <c r="I19" s="3"/>
      <c r="J19" s="3"/>
      <c r="K19" s="3"/>
      <c r="L19" s="3"/>
      <c r="M19" s="4" t="str">
        <f t="shared" si="0"/>
        <v/>
      </c>
      <c r="N19" s="4" t="str">
        <f>IF(M19="","",IFERROR(IF(AND(ISNUMBER('Scoring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Methodology'!$F$18,1)=0),IF(ISNUMBER(M19),IF(M19&lt;'Scoring Methodology'!$F$16,"Low",IF(M19&lt;'Scoring Methodology'!$F$17,"Moderate",IF(M19&lt;'Scoring Methodology'!$F$18,"High","Critical"))),"Invalid input"),"Invalid thresholds"),"Invalid thresholds"))</f>
        <v/>
      </c>
      <c r="O19" s="3"/>
      <c r="P19" s="3"/>
      <c r="Q19" s="3"/>
      <c r="R19" s="3"/>
      <c r="S19" s="3"/>
      <c r="T19" s="3"/>
      <c r="U19" s="3"/>
      <c r="V19" s="4" t="str">
        <f t="shared" si="1"/>
        <v/>
      </c>
      <c r="W19" s="4" t="str">
        <f>IF(V19="","",IFERROR(IF(AND(ISNUMBER('Scoring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Methodology'!$F$18,1)=0),IF(ISNUMBER(V19),IF(V19&lt;'Scoring Methodology'!$F$16,"Low",IF(V19&lt;'Scoring Methodology'!$F$17,"Moderate",IF(V19&lt;'Scoring Methodology'!$F$18,"High","Critical"))),"Invalid input"),"Invalid thresholds"),"Invalid thresholds"))</f>
        <v/>
      </c>
      <c r="X19" s="3"/>
      <c r="Y19" s="4">
        <f>IF(E19="",0,IF(AND(OR(Dashboard!$L$7="All",Q19=Dashboard!$L$7),OR(Dashboard!$T$7="All",N19=Dashboard!$T$7)),1,0))</f>
        <v>0</v>
      </c>
    </row>
    <row r="20" spans="1:25" ht="26.1" customHeight="1">
      <c r="A20" s="18"/>
      <c r="B20" s="18"/>
      <c r="C20" s="18"/>
      <c r="D20" s="18"/>
      <c r="E20" s="3"/>
      <c r="F20" s="3"/>
      <c r="G20" s="3"/>
      <c r="H20" s="3"/>
      <c r="I20" s="3"/>
      <c r="J20" s="3"/>
      <c r="K20" s="3"/>
      <c r="L20" s="3"/>
      <c r="M20" s="4" t="str">
        <f t="shared" si="0"/>
        <v/>
      </c>
      <c r="N20" s="4" t="str">
        <f>IF(M20="","",IFERROR(IF(AND(ISNUMBER('Scoring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Methodology'!$F$18,1)=0),IF(ISNUMBER(M20),IF(M20&lt;'Scoring Methodology'!$F$16,"Low",IF(M20&lt;'Scoring Methodology'!$F$17,"Moderate",IF(M20&lt;'Scoring Methodology'!$F$18,"High","Critical"))),"Invalid input"),"Invalid thresholds"),"Invalid thresholds"))</f>
        <v/>
      </c>
      <c r="O20" s="3"/>
      <c r="P20" s="3"/>
      <c r="Q20" s="3"/>
      <c r="R20" s="3"/>
      <c r="S20" s="3"/>
      <c r="T20" s="3"/>
      <c r="U20" s="3"/>
      <c r="V20" s="4" t="str">
        <f t="shared" si="1"/>
        <v/>
      </c>
      <c r="W20" s="4" t="str">
        <f>IF(V20="","",IFERROR(IF(AND(ISNUMBER('Scoring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Methodology'!$F$18,1)=0),IF(ISNUMBER(V20),IF(V20&lt;'Scoring Methodology'!$F$16,"Low",IF(V20&lt;'Scoring Methodology'!$F$17,"Moderate",IF(V20&lt;'Scoring Methodology'!$F$18,"High","Critical"))),"Invalid input"),"Invalid thresholds"),"Invalid thresholds"))</f>
        <v/>
      </c>
      <c r="X20" s="3"/>
      <c r="Y20" s="4">
        <f>IF(E20="",0,IF(AND(OR(Dashboard!$L$7="All",Q20=Dashboard!$L$7),OR(Dashboard!$T$7="All",N20=Dashboard!$T$7)),1,0))</f>
        <v>0</v>
      </c>
    </row>
    <row r="21" spans="1:25" ht="26.1" customHeight="1">
      <c r="A21" s="18"/>
      <c r="B21" s="18"/>
      <c r="C21" s="18"/>
      <c r="D21" s="18"/>
      <c r="E21" s="3"/>
      <c r="F21" s="3"/>
      <c r="G21" s="3"/>
      <c r="H21" s="3"/>
      <c r="I21" s="3"/>
      <c r="J21" s="3"/>
      <c r="K21" s="3"/>
      <c r="L21" s="3"/>
      <c r="M21" s="4" t="str">
        <f t="shared" si="0"/>
        <v/>
      </c>
      <c r="N21" s="4" t="str">
        <f>IF(M21="","",IFERROR(IF(AND(ISNUMBER('Scoring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Methodology'!$F$18,1)=0),IF(ISNUMBER(M21),IF(M21&lt;'Scoring Methodology'!$F$16,"Low",IF(M21&lt;'Scoring Methodology'!$F$17,"Moderate",IF(M21&lt;'Scoring Methodology'!$F$18,"High","Critical"))),"Invalid input"),"Invalid thresholds"),"Invalid thresholds"))</f>
        <v/>
      </c>
      <c r="O21" s="3"/>
      <c r="P21" s="3"/>
      <c r="Q21" s="3"/>
      <c r="R21" s="3"/>
      <c r="S21" s="3"/>
      <c r="T21" s="3"/>
      <c r="U21" s="3"/>
      <c r="V21" s="4" t="str">
        <f t="shared" si="1"/>
        <v/>
      </c>
      <c r="W21" s="4" t="str">
        <f>IF(V21="","",IFERROR(IF(AND(ISNUMBER('Scoring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Methodology'!$F$18,1)=0),IF(ISNUMBER(V21),IF(V21&lt;'Scoring Methodology'!$F$16,"Low",IF(V21&lt;'Scoring Methodology'!$F$17,"Moderate",IF(V21&lt;'Scoring Methodology'!$F$18,"High","Critical"))),"Invalid input"),"Invalid thresholds"),"Invalid thresholds"))</f>
        <v/>
      </c>
      <c r="X21" s="3"/>
      <c r="Y21" s="4">
        <f>IF(E21="",0,IF(AND(OR(Dashboard!$L$7="All",Q21=Dashboard!$L$7),OR(Dashboard!$T$7="All",N21=Dashboard!$T$7)),1,0))</f>
        <v>0</v>
      </c>
    </row>
    <row r="22" spans="1:25" ht="26.1" customHeight="1">
      <c r="A22" s="18"/>
      <c r="B22" s="18"/>
      <c r="C22" s="18"/>
      <c r="D22" s="18"/>
      <c r="E22" s="3"/>
      <c r="F22" s="3"/>
      <c r="G22" s="3"/>
      <c r="H22" s="3"/>
      <c r="I22" s="3"/>
      <c r="J22" s="3"/>
      <c r="K22" s="3"/>
      <c r="L22" s="3"/>
      <c r="M22" s="4" t="str">
        <f t="shared" si="0"/>
        <v/>
      </c>
      <c r="N22" s="4" t="str">
        <f>IF(M22="","",IFERROR(IF(AND(ISNUMBER('Scoring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Methodology'!$F$18,1)=0),IF(ISNUMBER(M22),IF(M22&lt;'Scoring Methodology'!$F$16,"Low",IF(M22&lt;'Scoring Methodology'!$F$17,"Moderate",IF(M22&lt;'Scoring Methodology'!$F$18,"High","Critical"))),"Invalid input"),"Invalid thresholds"),"Invalid thresholds"))</f>
        <v/>
      </c>
      <c r="O22" s="3"/>
      <c r="P22" s="3"/>
      <c r="Q22" s="3"/>
      <c r="R22" s="3"/>
      <c r="S22" s="3"/>
      <c r="T22" s="3"/>
      <c r="U22" s="3"/>
      <c r="V22" s="4" t="str">
        <f t="shared" si="1"/>
        <v/>
      </c>
      <c r="W22" s="4" t="str">
        <f>IF(V22="","",IFERROR(IF(AND(ISNUMBER('Scoring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Methodology'!$F$18,1)=0),IF(ISNUMBER(V22),IF(V22&lt;'Scoring Methodology'!$F$16,"Low",IF(V22&lt;'Scoring Methodology'!$F$17,"Moderate",IF(V22&lt;'Scoring Methodology'!$F$18,"High","Critical"))),"Invalid input"),"Invalid thresholds"),"Invalid thresholds"))</f>
        <v/>
      </c>
      <c r="X22" s="3"/>
      <c r="Y22" s="4">
        <f>IF(E22="",0,IF(AND(OR(Dashboard!$L$7="All",Q22=Dashboard!$L$7),OR(Dashboard!$T$7="All",N22=Dashboard!$T$7)),1,0))</f>
        <v>0</v>
      </c>
    </row>
    <row r="23" spans="1:25" ht="26.1" customHeight="1">
      <c r="A23" s="18"/>
      <c r="B23" s="18"/>
      <c r="C23" s="18"/>
      <c r="D23" s="18"/>
      <c r="E23" s="3"/>
      <c r="F23" s="3"/>
      <c r="G23" s="3"/>
      <c r="H23" s="3"/>
      <c r="I23" s="3"/>
      <c r="J23" s="3"/>
      <c r="K23" s="3"/>
      <c r="L23" s="3"/>
      <c r="M23" s="4" t="str">
        <f t="shared" si="0"/>
        <v/>
      </c>
      <c r="N23" s="4" t="str">
        <f>IF(M23="","",IFERROR(IF(AND(ISNUMBER('Scoring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Methodology'!$F$18,1)=0),IF(ISNUMBER(M23),IF(M23&lt;'Scoring Methodology'!$F$16,"Low",IF(M23&lt;'Scoring Methodology'!$F$17,"Moderate",IF(M23&lt;'Scoring Methodology'!$F$18,"High","Critical"))),"Invalid input"),"Invalid thresholds"),"Invalid thresholds"))</f>
        <v/>
      </c>
      <c r="O23" s="3"/>
      <c r="P23" s="3"/>
      <c r="Q23" s="3"/>
      <c r="R23" s="3"/>
      <c r="S23" s="3"/>
      <c r="T23" s="3"/>
      <c r="U23" s="3"/>
      <c r="V23" s="4" t="str">
        <f t="shared" si="1"/>
        <v/>
      </c>
      <c r="W23" s="4" t="str">
        <f>IF(V23="","",IFERROR(IF(AND(ISNUMBER('Scoring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Methodology'!$F$18,1)=0),IF(ISNUMBER(V23),IF(V23&lt;'Scoring Methodology'!$F$16,"Low",IF(V23&lt;'Scoring Methodology'!$F$17,"Moderate",IF(V23&lt;'Scoring Methodology'!$F$18,"High","Critical"))),"Invalid input"),"Invalid thresholds"),"Invalid thresholds"))</f>
        <v/>
      </c>
      <c r="X23" s="3"/>
      <c r="Y23" s="4">
        <f>IF(E23="",0,IF(AND(OR(Dashboard!$L$7="All",Q23=Dashboard!$L$7),OR(Dashboard!$T$7="All",N23=Dashboard!$T$7)),1,0))</f>
        <v>0</v>
      </c>
    </row>
    <row r="24" spans="1:25" ht="26.1" customHeight="1">
      <c r="A24" s="18"/>
      <c r="B24" s="18"/>
      <c r="C24" s="18"/>
      <c r="D24" s="18"/>
      <c r="E24" s="3"/>
      <c r="F24" s="3"/>
      <c r="G24" s="3"/>
      <c r="H24" s="3"/>
      <c r="I24" s="3"/>
      <c r="J24" s="3"/>
      <c r="K24" s="3"/>
      <c r="L24" s="3"/>
      <c r="M24" s="4" t="str">
        <f t="shared" si="0"/>
        <v/>
      </c>
      <c r="N24" s="4" t="str">
        <f>IF(M24="","",IFERROR(IF(AND(ISNUMBER('Scoring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Methodology'!$F$18,1)=0),IF(ISNUMBER(M24),IF(M24&lt;'Scoring Methodology'!$F$16,"Low",IF(M24&lt;'Scoring Methodology'!$F$17,"Moderate",IF(M24&lt;'Scoring Methodology'!$F$18,"High","Critical"))),"Invalid input"),"Invalid thresholds"),"Invalid thresholds"))</f>
        <v/>
      </c>
      <c r="O24" s="3"/>
      <c r="P24" s="3"/>
      <c r="Q24" s="3"/>
      <c r="R24" s="3"/>
      <c r="S24" s="3"/>
      <c r="T24" s="3"/>
      <c r="U24" s="3"/>
      <c r="V24" s="4" t="str">
        <f t="shared" si="1"/>
        <v/>
      </c>
      <c r="W24" s="4" t="str">
        <f>IF(V24="","",IFERROR(IF(AND(ISNUMBER('Scoring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Methodology'!$F$18,1)=0),IF(ISNUMBER(V24),IF(V24&lt;'Scoring Methodology'!$F$16,"Low",IF(V24&lt;'Scoring Methodology'!$F$17,"Moderate",IF(V24&lt;'Scoring Methodology'!$F$18,"High","Critical"))),"Invalid input"),"Invalid thresholds"),"Invalid thresholds"))</f>
        <v/>
      </c>
      <c r="X24" s="3"/>
      <c r="Y24" s="4">
        <f>IF(E24="",0,IF(AND(OR(Dashboard!$L$7="All",Q24=Dashboard!$L$7),OR(Dashboard!$T$7="All",N24=Dashboard!$T$7)),1,0))</f>
        <v>0</v>
      </c>
    </row>
    <row r="25" spans="1:25" ht="26.1" customHeight="1">
      <c r="A25" s="18"/>
      <c r="B25" s="18"/>
      <c r="C25" s="18"/>
      <c r="D25" s="18"/>
      <c r="E25" s="3"/>
      <c r="F25" s="3"/>
      <c r="G25" s="3"/>
      <c r="H25" s="3"/>
      <c r="I25" s="3"/>
      <c r="J25" s="3"/>
      <c r="K25" s="3"/>
      <c r="L25" s="3"/>
      <c r="M25" s="4" t="str">
        <f t="shared" si="0"/>
        <v/>
      </c>
      <c r="N25" s="4" t="str">
        <f>IF(M25="","",IFERROR(IF(AND(ISNUMBER('Scoring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Methodology'!$F$18,1)=0),IF(ISNUMBER(M25),IF(M25&lt;'Scoring Methodology'!$F$16,"Low",IF(M25&lt;'Scoring Methodology'!$F$17,"Moderate",IF(M25&lt;'Scoring Methodology'!$F$18,"High","Critical"))),"Invalid input"),"Invalid thresholds"),"Invalid thresholds"))</f>
        <v/>
      </c>
      <c r="O25" s="3"/>
      <c r="P25" s="3"/>
      <c r="Q25" s="3"/>
      <c r="R25" s="3"/>
      <c r="S25" s="3"/>
      <c r="T25" s="3"/>
      <c r="U25" s="3"/>
      <c r="V25" s="4" t="str">
        <f t="shared" si="1"/>
        <v/>
      </c>
      <c r="W25" s="4" t="str">
        <f>IF(V25="","",IFERROR(IF(AND(ISNUMBER('Scoring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Methodology'!$F$18,1)=0),IF(ISNUMBER(V25),IF(V25&lt;'Scoring Methodology'!$F$16,"Low",IF(V25&lt;'Scoring Methodology'!$F$17,"Moderate",IF(V25&lt;'Scoring Methodology'!$F$18,"High","Critical"))),"Invalid input"),"Invalid thresholds"),"Invalid thresholds"))</f>
        <v/>
      </c>
      <c r="X25" s="3"/>
      <c r="Y25" s="4">
        <f>IF(E25="",0,IF(AND(OR(Dashboard!$L$7="All",Q25=Dashboard!$L$7),OR(Dashboard!$T$7="All",N25=Dashboard!$T$7)),1,0))</f>
        <v>0</v>
      </c>
    </row>
    <row r="26" spans="1:25" ht="26.1" customHeight="1">
      <c r="A26" s="18"/>
      <c r="B26" s="18"/>
      <c r="C26" s="18"/>
      <c r="D26" s="18"/>
      <c r="E26" s="3"/>
      <c r="F26" s="3"/>
      <c r="G26" s="3"/>
      <c r="H26" s="3"/>
      <c r="I26" s="3"/>
      <c r="J26" s="3"/>
      <c r="K26" s="3"/>
      <c r="L26" s="3"/>
      <c r="M26" s="4" t="str">
        <f t="shared" si="0"/>
        <v/>
      </c>
      <c r="N26" s="4" t="str">
        <f>IF(M26="","",IFERROR(IF(AND(ISNUMBER('Scoring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Methodology'!$F$18,1)=0),IF(ISNUMBER(M26),IF(M26&lt;'Scoring Methodology'!$F$16,"Low",IF(M26&lt;'Scoring Methodology'!$F$17,"Moderate",IF(M26&lt;'Scoring Methodology'!$F$18,"High","Critical"))),"Invalid input"),"Invalid thresholds"),"Invalid thresholds"))</f>
        <v/>
      </c>
      <c r="O26" s="3"/>
      <c r="P26" s="3"/>
      <c r="Q26" s="3"/>
      <c r="R26" s="3"/>
      <c r="S26" s="3"/>
      <c r="T26" s="3"/>
      <c r="U26" s="3"/>
      <c r="V26" s="4" t="str">
        <f t="shared" si="1"/>
        <v/>
      </c>
      <c r="W26" s="4" t="str">
        <f>IF(V26="","",IFERROR(IF(AND(ISNUMBER('Scoring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Methodology'!$F$18,1)=0),IF(ISNUMBER(V26),IF(V26&lt;'Scoring Methodology'!$F$16,"Low",IF(V26&lt;'Scoring Methodology'!$F$17,"Moderate",IF(V26&lt;'Scoring Methodology'!$F$18,"High","Critical"))),"Invalid input"),"Invalid thresholds"),"Invalid thresholds"))</f>
        <v/>
      </c>
      <c r="X26" s="3"/>
      <c r="Y26" s="4">
        <f>IF(E26="",0,IF(AND(OR(Dashboard!$L$7="All",Q26=Dashboard!$L$7),OR(Dashboard!$T$7="All",N26=Dashboard!$T$7)),1,0))</f>
        <v>0</v>
      </c>
    </row>
    <row r="27" spans="1:25" ht="26.1" customHeight="1">
      <c r="A27" s="18"/>
      <c r="B27" s="18"/>
      <c r="C27" s="18"/>
      <c r="D27" s="18"/>
      <c r="E27" s="3"/>
      <c r="F27" s="3"/>
      <c r="G27" s="3"/>
      <c r="H27" s="3"/>
      <c r="I27" s="3"/>
      <c r="J27" s="3"/>
      <c r="K27" s="3"/>
      <c r="L27" s="3"/>
      <c r="M27" s="4" t="str">
        <f t="shared" si="0"/>
        <v/>
      </c>
      <c r="N27" s="4" t="str">
        <f>IF(M27="","",IFERROR(IF(AND(ISNUMBER('Scoring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Methodology'!$F$18,1)=0),IF(ISNUMBER(M27),IF(M27&lt;'Scoring Methodology'!$F$16,"Low",IF(M27&lt;'Scoring Methodology'!$F$17,"Moderate",IF(M27&lt;'Scoring Methodology'!$F$18,"High","Critical"))),"Invalid input"),"Invalid thresholds"),"Invalid thresholds"))</f>
        <v/>
      </c>
      <c r="O27" s="3"/>
      <c r="P27" s="3"/>
      <c r="Q27" s="3"/>
      <c r="R27" s="3"/>
      <c r="S27" s="3"/>
      <c r="T27" s="3"/>
      <c r="U27" s="3"/>
      <c r="V27" s="4" t="str">
        <f t="shared" si="1"/>
        <v/>
      </c>
      <c r="W27" s="4" t="str">
        <f>IF(V27="","",IFERROR(IF(AND(ISNUMBER('Scoring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Methodology'!$F$18,1)=0),IF(ISNUMBER(V27),IF(V27&lt;'Scoring Methodology'!$F$16,"Low",IF(V27&lt;'Scoring Methodology'!$F$17,"Moderate",IF(V27&lt;'Scoring Methodology'!$F$18,"High","Critical"))),"Invalid input"),"Invalid thresholds"),"Invalid thresholds"))</f>
        <v/>
      </c>
      <c r="X27" s="3"/>
      <c r="Y27" s="4">
        <f>IF(E27="",0,IF(AND(OR(Dashboard!$L$7="All",Q27=Dashboard!$L$7),OR(Dashboard!$T$7="All",N27=Dashboard!$T$7)),1,0))</f>
        <v>0</v>
      </c>
    </row>
    <row r="28" spans="1:25" ht="26.1" customHeight="1">
      <c r="A28" s="18"/>
      <c r="B28" s="18"/>
      <c r="C28" s="18"/>
      <c r="D28" s="18"/>
      <c r="E28" s="3"/>
      <c r="F28" s="3"/>
      <c r="G28" s="3"/>
      <c r="H28" s="3"/>
      <c r="I28" s="3"/>
      <c r="J28" s="3"/>
      <c r="K28" s="3"/>
      <c r="L28" s="3"/>
      <c r="M28" s="4" t="str">
        <f t="shared" si="0"/>
        <v/>
      </c>
      <c r="N28" s="4" t="str">
        <f>IF(M28="","",IFERROR(IF(AND(ISNUMBER('Scoring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Methodology'!$F$18,1)=0),IF(ISNUMBER(M28),IF(M28&lt;'Scoring Methodology'!$F$16,"Low",IF(M28&lt;'Scoring Methodology'!$F$17,"Moderate",IF(M28&lt;'Scoring Methodology'!$F$18,"High","Critical"))),"Invalid input"),"Invalid thresholds"),"Invalid thresholds"))</f>
        <v/>
      </c>
      <c r="O28" s="3"/>
      <c r="P28" s="3"/>
      <c r="Q28" s="3"/>
      <c r="R28" s="3"/>
      <c r="S28" s="3"/>
      <c r="T28" s="3"/>
      <c r="U28" s="3"/>
      <c r="V28" s="4" t="str">
        <f t="shared" si="1"/>
        <v/>
      </c>
      <c r="W28" s="4" t="str">
        <f>IF(V28="","",IFERROR(IF(AND(ISNUMBER('Scoring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Methodology'!$F$18,1)=0),IF(ISNUMBER(V28),IF(V28&lt;'Scoring Methodology'!$F$16,"Low",IF(V28&lt;'Scoring Methodology'!$F$17,"Moderate",IF(V28&lt;'Scoring Methodology'!$F$18,"High","Critical"))),"Invalid input"),"Invalid thresholds"),"Invalid thresholds"))</f>
        <v/>
      </c>
      <c r="X28" s="3"/>
      <c r="Y28" s="4">
        <f>IF(E28="",0,IF(AND(OR(Dashboard!$L$7="All",Q28=Dashboard!$L$7),OR(Dashboard!$T$7="All",N28=Dashboard!$T$7)),1,0))</f>
        <v>0</v>
      </c>
    </row>
    <row r="29" spans="1:25" ht="26.1" customHeight="1">
      <c r="A29" s="18"/>
      <c r="B29" s="18"/>
      <c r="C29" s="18"/>
      <c r="D29" s="18"/>
      <c r="E29" s="3"/>
      <c r="F29" s="3"/>
      <c r="G29" s="3"/>
      <c r="H29" s="3"/>
      <c r="I29" s="3"/>
      <c r="J29" s="3"/>
      <c r="K29" s="3"/>
      <c r="L29" s="3"/>
      <c r="M29" s="4" t="str">
        <f t="shared" si="0"/>
        <v/>
      </c>
      <c r="N29" s="4" t="str">
        <f>IF(M29="","",IFERROR(IF(AND(ISNUMBER('Scoring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Methodology'!$F$18,1)=0),IF(ISNUMBER(M29),IF(M29&lt;'Scoring Methodology'!$F$16,"Low",IF(M29&lt;'Scoring Methodology'!$F$17,"Moderate",IF(M29&lt;'Scoring Methodology'!$F$18,"High","Critical"))),"Invalid input"),"Invalid thresholds"),"Invalid thresholds"))</f>
        <v/>
      </c>
      <c r="O29" s="3"/>
      <c r="P29" s="3"/>
      <c r="Q29" s="3"/>
      <c r="R29" s="3"/>
      <c r="S29" s="3"/>
      <c r="T29" s="3"/>
      <c r="U29" s="3"/>
      <c r="V29" s="4" t="str">
        <f t="shared" si="1"/>
        <v/>
      </c>
      <c r="W29" s="4" t="str">
        <f>IF(V29="","",IFERROR(IF(AND(ISNUMBER('Scoring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Methodology'!$F$18,1)=0),IF(ISNUMBER(V29),IF(V29&lt;'Scoring Methodology'!$F$16,"Low",IF(V29&lt;'Scoring Methodology'!$F$17,"Moderate",IF(V29&lt;'Scoring Methodology'!$F$18,"High","Critical"))),"Invalid input"),"Invalid thresholds"),"Invalid thresholds"))</f>
        <v/>
      </c>
      <c r="X29" s="3"/>
      <c r="Y29" s="4">
        <f>IF(E29="",0,IF(AND(OR(Dashboard!$L$7="All",Q29=Dashboard!$L$7),OR(Dashboard!$T$7="All",N29=Dashboard!$T$7)),1,0))</f>
        <v>0</v>
      </c>
    </row>
    <row r="30" spans="1:25" ht="26.1" customHeight="1">
      <c r="A30" s="18"/>
      <c r="B30" s="18"/>
      <c r="C30" s="18"/>
      <c r="D30" s="18"/>
      <c r="E30" s="3"/>
      <c r="F30" s="3"/>
      <c r="G30" s="3"/>
      <c r="H30" s="3"/>
      <c r="I30" s="3"/>
      <c r="J30" s="3"/>
      <c r="K30" s="3"/>
      <c r="L30" s="3"/>
      <c r="M30" s="4" t="str">
        <f t="shared" si="0"/>
        <v/>
      </c>
      <c r="N30" s="4" t="str">
        <f>IF(M30="","",IFERROR(IF(AND(ISNUMBER('Scoring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Methodology'!$F$18,1)=0),IF(ISNUMBER(M30),IF(M30&lt;'Scoring Methodology'!$F$16,"Low",IF(M30&lt;'Scoring Methodology'!$F$17,"Moderate",IF(M30&lt;'Scoring Methodology'!$F$18,"High","Critical"))),"Invalid input"),"Invalid thresholds"),"Invalid thresholds"))</f>
        <v/>
      </c>
      <c r="O30" s="3"/>
      <c r="P30" s="3"/>
      <c r="Q30" s="3"/>
      <c r="R30" s="3"/>
      <c r="S30" s="3"/>
      <c r="T30" s="3"/>
      <c r="U30" s="3"/>
      <c r="V30" s="4" t="str">
        <f t="shared" si="1"/>
        <v/>
      </c>
      <c r="W30" s="4" t="str">
        <f>IF(V30="","",IFERROR(IF(AND(ISNUMBER('Scoring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Methodology'!$F$18,1)=0),IF(ISNUMBER(V30),IF(V30&lt;'Scoring Methodology'!$F$16,"Low",IF(V30&lt;'Scoring Methodology'!$F$17,"Moderate",IF(V30&lt;'Scoring Methodology'!$F$18,"High","Critical"))),"Invalid input"),"Invalid thresholds"),"Invalid thresholds"))</f>
        <v/>
      </c>
      <c r="X30" s="3"/>
      <c r="Y30" s="4">
        <f>IF(E30="",0,IF(AND(OR(Dashboard!$L$7="All",Q30=Dashboard!$L$7),OR(Dashboard!$T$7="All",N30=Dashboard!$T$7)),1,0))</f>
        <v>0</v>
      </c>
    </row>
    <row r="31" spans="1:25" ht="26.1" customHeight="1">
      <c r="A31" s="18"/>
      <c r="B31" s="18"/>
      <c r="C31" s="18"/>
      <c r="D31" s="18"/>
      <c r="E31" s="3"/>
      <c r="F31" s="3"/>
      <c r="G31" s="3"/>
      <c r="H31" s="3"/>
      <c r="I31" s="3"/>
      <c r="J31" s="3"/>
      <c r="K31" s="3"/>
      <c r="L31" s="3"/>
      <c r="M31" s="4" t="str">
        <f t="shared" si="0"/>
        <v/>
      </c>
      <c r="N31" s="4" t="str">
        <f>IF(M31="","",IFERROR(IF(AND(ISNUMBER('Scoring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Methodology'!$F$18,1)=0),IF(ISNUMBER(M31),IF(M31&lt;'Scoring Methodology'!$F$16,"Low",IF(M31&lt;'Scoring Methodology'!$F$17,"Moderate",IF(M31&lt;'Scoring Methodology'!$F$18,"High","Critical"))),"Invalid input"),"Invalid thresholds"),"Invalid thresholds"))</f>
        <v/>
      </c>
      <c r="O31" s="3"/>
      <c r="P31" s="3"/>
      <c r="Q31" s="3"/>
      <c r="R31" s="3"/>
      <c r="S31" s="3"/>
      <c r="T31" s="3"/>
      <c r="U31" s="3"/>
      <c r="V31" s="4" t="str">
        <f t="shared" si="1"/>
        <v/>
      </c>
      <c r="W31" s="4" t="str">
        <f>IF(V31="","",IFERROR(IF(AND(ISNUMBER('Scoring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Methodology'!$F$18,1)=0),IF(ISNUMBER(V31),IF(V31&lt;'Scoring Methodology'!$F$16,"Low",IF(V31&lt;'Scoring Methodology'!$F$17,"Moderate",IF(V31&lt;'Scoring Methodology'!$F$18,"High","Critical"))),"Invalid input"),"Invalid thresholds"),"Invalid thresholds"))</f>
        <v/>
      </c>
      <c r="X31" s="3"/>
      <c r="Y31" s="4">
        <f>IF(E31="",0,IF(AND(OR(Dashboard!$L$7="All",Q31=Dashboard!$L$7),OR(Dashboard!$T$7="All",N31=Dashboard!$T$7)),1,0))</f>
        <v>0</v>
      </c>
    </row>
    <row r="32" spans="1:25" ht="26.1" customHeight="1">
      <c r="A32" s="18"/>
      <c r="B32" s="18"/>
      <c r="C32" s="18"/>
      <c r="D32" s="18"/>
      <c r="E32" s="3"/>
      <c r="F32" s="3"/>
      <c r="G32" s="3"/>
      <c r="H32" s="3"/>
      <c r="I32" s="3"/>
      <c r="J32" s="3"/>
      <c r="K32" s="3"/>
      <c r="L32" s="3"/>
      <c r="M32" s="4" t="str">
        <f t="shared" si="0"/>
        <v/>
      </c>
      <c r="N32" s="4" t="str">
        <f>IF(M32="","",IFERROR(IF(AND(ISNUMBER('Scoring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Methodology'!$F$18,1)=0),IF(ISNUMBER(M32),IF(M32&lt;'Scoring Methodology'!$F$16,"Low",IF(M32&lt;'Scoring Methodology'!$F$17,"Moderate",IF(M32&lt;'Scoring Methodology'!$F$18,"High","Critical"))),"Invalid input"),"Invalid thresholds"),"Invalid thresholds"))</f>
        <v/>
      </c>
      <c r="O32" s="3"/>
      <c r="P32" s="3"/>
      <c r="Q32" s="3"/>
      <c r="R32" s="3"/>
      <c r="S32" s="3"/>
      <c r="T32" s="3"/>
      <c r="U32" s="3"/>
      <c r="V32" s="4" t="str">
        <f t="shared" si="1"/>
        <v/>
      </c>
      <c r="W32" s="4" t="str">
        <f>IF(V32="","",IFERROR(IF(AND(ISNUMBER('Scoring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Methodology'!$F$18,1)=0),IF(ISNUMBER(V32),IF(V32&lt;'Scoring Methodology'!$F$16,"Low",IF(V32&lt;'Scoring Methodology'!$F$17,"Moderate",IF(V32&lt;'Scoring Methodology'!$F$18,"High","Critical"))),"Invalid input"),"Invalid thresholds"),"Invalid thresholds"))</f>
        <v/>
      </c>
      <c r="X32" s="3"/>
      <c r="Y32" s="4">
        <f>IF(E32="",0,IF(AND(OR(Dashboard!$L$7="All",Q32=Dashboard!$L$7),OR(Dashboard!$T$7="All",N32=Dashboard!$T$7)),1,0))</f>
        <v>0</v>
      </c>
    </row>
    <row r="33" spans="1:25" ht="26.1" customHeight="1">
      <c r="A33" s="18"/>
      <c r="B33" s="18"/>
      <c r="C33" s="18"/>
      <c r="D33" s="18"/>
      <c r="E33" s="3"/>
      <c r="F33" s="3"/>
      <c r="G33" s="3"/>
      <c r="H33" s="3"/>
      <c r="I33" s="3"/>
      <c r="J33" s="3"/>
      <c r="K33" s="3"/>
      <c r="L33" s="3"/>
      <c r="M33" s="4" t="str">
        <f t="shared" si="0"/>
        <v/>
      </c>
      <c r="N33" s="4" t="str">
        <f>IF(M33="","",IFERROR(IF(AND(ISNUMBER('Scoring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Methodology'!$F$18,1)=0),IF(ISNUMBER(M33),IF(M33&lt;'Scoring Methodology'!$F$16,"Low",IF(M33&lt;'Scoring Methodology'!$F$17,"Moderate",IF(M33&lt;'Scoring Methodology'!$F$18,"High","Critical"))),"Invalid input"),"Invalid thresholds"),"Invalid thresholds"))</f>
        <v/>
      </c>
      <c r="O33" s="3"/>
      <c r="P33" s="3"/>
      <c r="Q33" s="3"/>
      <c r="R33" s="3"/>
      <c r="S33" s="3"/>
      <c r="T33" s="3"/>
      <c r="U33" s="3"/>
      <c r="V33" s="4" t="str">
        <f t="shared" si="1"/>
        <v/>
      </c>
      <c r="W33" s="4" t="str">
        <f>IF(V33="","",IFERROR(IF(AND(ISNUMBER('Scoring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Methodology'!$F$18,1)=0),IF(ISNUMBER(V33),IF(V33&lt;'Scoring Methodology'!$F$16,"Low",IF(V33&lt;'Scoring Methodology'!$F$17,"Moderate",IF(V33&lt;'Scoring Methodology'!$F$18,"High","Critical"))),"Invalid input"),"Invalid thresholds"),"Invalid thresholds"))</f>
        <v/>
      </c>
      <c r="X33" s="3"/>
      <c r="Y33" s="4">
        <f>IF(E33="",0,IF(AND(OR(Dashboard!$L$7="All",Q33=Dashboard!$L$7),OR(Dashboard!$T$7="All",N33=Dashboard!$T$7)),1,0))</f>
        <v>0</v>
      </c>
    </row>
    <row r="34" spans="1:25" ht="26.1" customHeight="1">
      <c r="A34" s="18"/>
      <c r="B34" s="18"/>
      <c r="C34" s="18"/>
      <c r="D34" s="18"/>
      <c r="E34" s="3"/>
      <c r="F34" s="3"/>
      <c r="G34" s="3"/>
      <c r="H34" s="3"/>
      <c r="I34" s="3"/>
      <c r="J34" s="3"/>
      <c r="K34" s="3"/>
      <c r="L34" s="3"/>
      <c r="M34" s="4" t="str">
        <f t="shared" si="0"/>
        <v/>
      </c>
      <c r="N34" s="4" t="str">
        <f>IF(M34="","",IFERROR(IF(AND(ISNUMBER('Scoring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Methodology'!$F$18,1)=0),IF(ISNUMBER(M34),IF(M34&lt;'Scoring Methodology'!$F$16,"Low",IF(M34&lt;'Scoring Methodology'!$F$17,"Moderate",IF(M34&lt;'Scoring Methodology'!$F$18,"High","Critical"))),"Invalid input"),"Invalid thresholds"),"Invalid thresholds"))</f>
        <v/>
      </c>
      <c r="O34" s="3"/>
      <c r="P34" s="3"/>
      <c r="Q34" s="3"/>
      <c r="R34" s="3"/>
      <c r="S34" s="3"/>
      <c r="T34" s="3"/>
      <c r="U34" s="3"/>
      <c r="V34" s="4" t="str">
        <f t="shared" si="1"/>
        <v/>
      </c>
      <c r="W34" s="4" t="str">
        <f>IF(V34="","",IFERROR(IF(AND(ISNUMBER('Scoring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Methodology'!$F$18,1)=0),IF(ISNUMBER(V34),IF(V34&lt;'Scoring Methodology'!$F$16,"Low",IF(V34&lt;'Scoring Methodology'!$F$17,"Moderate",IF(V34&lt;'Scoring Methodology'!$F$18,"High","Critical"))),"Invalid input"),"Invalid thresholds"),"Invalid thresholds"))</f>
        <v/>
      </c>
      <c r="X34" s="3"/>
      <c r="Y34" s="4">
        <f>IF(E34="",0,IF(AND(OR(Dashboard!$L$7="All",Q34=Dashboard!$L$7),OR(Dashboard!$T$7="All",N34=Dashboard!$T$7)),1,0))</f>
        <v>0</v>
      </c>
    </row>
    <row r="35" spans="1:25" ht="26.1" customHeight="1">
      <c r="A35" s="18"/>
      <c r="B35" s="18"/>
      <c r="C35" s="18"/>
      <c r="D35" s="18"/>
      <c r="E35" s="3"/>
      <c r="F35" s="3"/>
      <c r="G35" s="3"/>
      <c r="H35" s="3"/>
      <c r="I35" s="3"/>
      <c r="J35" s="3"/>
      <c r="K35" s="3"/>
      <c r="L35" s="3"/>
      <c r="M35" s="4" t="str">
        <f t="shared" si="0"/>
        <v/>
      </c>
      <c r="N35" s="4" t="str">
        <f>IF(M35="","",IFERROR(IF(AND(ISNUMBER('Scoring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Methodology'!$F$18,1)=0),IF(ISNUMBER(M35),IF(M35&lt;'Scoring Methodology'!$F$16,"Low",IF(M35&lt;'Scoring Methodology'!$F$17,"Moderate",IF(M35&lt;'Scoring Methodology'!$F$18,"High","Critical"))),"Invalid input"),"Invalid thresholds"),"Invalid thresholds"))</f>
        <v/>
      </c>
      <c r="O35" s="3"/>
      <c r="P35" s="3"/>
      <c r="Q35" s="3"/>
      <c r="R35" s="3"/>
      <c r="S35" s="3"/>
      <c r="T35" s="3"/>
      <c r="U35" s="3"/>
      <c r="V35" s="4" t="str">
        <f t="shared" si="1"/>
        <v/>
      </c>
      <c r="W35" s="4" t="str">
        <f>IF(V35="","",IFERROR(IF(AND(ISNUMBER('Scoring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Methodology'!$F$18,1)=0),IF(ISNUMBER(V35),IF(V35&lt;'Scoring Methodology'!$F$16,"Low",IF(V35&lt;'Scoring Methodology'!$F$17,"Moderate",IF(V35&lt;'Scoring Methodology'!$F$18,"High","Critical"))),"Invalid input"),"Invalid thresholds"),"Invalid thresholds"))</f>
        <v/>
      </c>
      <c r="X35" s="3"/>
      <c r="Y35" s="4">
        <f>IF(E35="",0,IF(AND(OR(Dashboard!$L$7="All",Q35=Dashboard!$L$7),OR(Dashboard!$T$7="All",N35=Dashboard!$T$7)),1,0))</f>
        <v>0</v>
      </c>
    </row>
    <row r="36" spans="1:25" ht="26.1" customHeight="1">
      <c r="A36" s="18"/>
      <c r="B36" s="18"/>
      <c r="C36" s="18"/>
      <c r="D36" s="18"/>
      <c r="E36" s="3"/>
      <c r="F36" s="3"/>
      <c r="G36" s="3"/>
      <c r="H36" s="3"/>
      <c r="I36" s="3"/>
      <c r="J36" s="3"/>
      <c r="K36" s="3"/>
      <c r="L36" s="3"/>
      <c r="M36" s="4" t="str">
        <f t="shared" si="0"/>
        <v/>
      </c>
      <c r="N36" s="4" t="str">
        <f>IF(M36="","",IFERROR(IF(AND(ISNUMBER('Scoring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Methodology'!$F$18,1)=0),IF(ISNUMBER(M36),IF(M36&lt;'Scoring Methodology'!$F$16,"Low",IF(M36&lt;'Scoring Methodology'!$F$17,"Moderate",IF(M36&lt;'Scoring Methodology'!$F$18,"High","Critical"))),"Invalid input"),"Invalid thresholds"),"Invalid thresholds"))</f>
        <v/>
      </c>
      <c r="O36" s="3"/>
      <c r="P36" s="3"/>
      <c r="Q36" s="3"/>
      <c r="R36" s="3"/>
      <c r="S36" s="3"/>
      <c r="T36" s="3"/>
      <c r="U36" s="3"/>
      <c r="V36" s="4" t="str">
        <f t="shared" si="1"/>
        <v/>
      </c>
      <c r="W36" s="4" t="str">
        <f>IF(V36="","",IFERROR(IF(AND(ISNUMBER('Scoring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Methodology'!$F$18,1)=0),IF(ISNUMBER(V36),IF(V36&lt;'Scoring Methodology'!$F$16,"Low",IF(V36&lt;'Scoring Methodology'!$F$17,"Moderate",IF(V36&lt;'Scoring Methodology'!$F$18,"High","Critical"))),"Invalid input"),"Invalid thresholds"),"Invalid thresholds"))</f>
        <v/>
      </c>
      <c r="X36" s="3"/>
      <c r="Y36" s="4">
        <f>IF(E36="",0,IF(AND(OR(Dashboard!$L$7="All",Q36=Dashboard!$L$7),OR(Dashboard!$T$7="All",N36=Dashboard!$T$7)),1,0))</f>
        <v>0</v>
      </c>
    </row>
    <row r="37" spans="1:25" ht="26.1" customHeight="1">
      <c r="A37" s="18"/>
      <c r="B37" s="18"/>
      <c r="C37" s="18"/>
      <c r="D37" s="18"/>
      <c r="E37" s="3"/>
      <c r="F37" s="3"/>
      <c r="G37" s="3"/>
      <c r="H37" s="3"/>
      <c r="I37" s="3"/>
      <c r="J37" s="3"/>
      <c r="K37" s="3"/>
      <c r="L37" s="3"/>
      <c r="M37" s="4" t="str">
        <f t="shared" si="0"/>
        <v/>
      </c>
      <c r="N37" s="4" t="str">
        <f>IF(M37="","",IFERROR(IF(AND(ISNUMBER('Scoring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Methodology'!$F$18,1)=0),IF(ISNUMBER(M37),IF(M37&lt;'Scoring Methodology'!$F$16,"Low",IF(M37&lt;'Scoring Methodology'!$F$17,"Moderate",IF(M37&lt;'Scoring Methodology'!$F$18,"High","Critical"))),"Invalid input"),"Invalid thresholds"),"Invalid thresholds"))</f>
        <v/>
      </c>
      <c r="O37" s="3"/>
      <c r="P37" s="3"/>
      <c r="Q37" s="3"/>
      <c r="R37" s="3"/>
      <c r="S37" s="3"/>
      <c r="T37" s="3"/>
      <c r="U37" s="3"/>
      <c r="V37" s="4" t="str">
        <f t="shared" si="1"/>
        <v/>
      </c>
      <c r="W37" s="4" t="str">
        <f>IF(V37="","",IFERROR(IF(AND(ISNUMBER('Scoring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Methodology'!$F$18,1)=0),IF(ISNUMBER(V37),IF(V37&lt;'Scoring Methodology'!$F$16,"Low",IF(V37&lt;'Scoring Methodology'!$F$17,"Moderate",IF(V37&lt;'Scoring Methodology'!$F$18,"High","Critical"))),"Invalid input"),"Invalid thresholds"),"Invalid thresholds"))</f>
        <v/>
      </c>
      <c r="X37" s="3"/>
      <c r="Y37" s="4">
        <f>IF(E37="",0,IF(AND(OR(Dashboard!$L$7="All",Q37=Dashboard!$L$7),OR(Dashboard!$T$7="All",N37=Dashboard!$T$7)),1,0))</f>
        <v>0</v>
      </c>
    </row>
    <row r="38" spans="1:25" ht="26.1" customHeight="1">
      <c r="A38" s="18"/>
      <c r="B38" s="18"/>
      <c r="C38" s="18"/>
      <c r="D38" s="18"/>
      <c r="E38" s="3"/>
      <c r="F38" s="3"/>
      <c r="G38" s="3"/>
      <c r="H38" s="3"/>
      <c r="I38" s="3"/>
      <c r="J38" s="3"/>
      <c r="K38" s="3"/>
      <c r="L38" s="3"/>
      <c r="M38" s="4" t="str">
        <f t="shared" si="0"/>
        <v/>
      </c>
      <c r="N38" s="4" t="str">
        <f>IF(M38="","",IFERROR(IF(AND(ISNUMBER('Scoring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Methodology'!$F$18,1)=0),IF(ISNUMBER(M38),IF(M38&lt;'Scoring Methodology'!$F$16,"Low",IF(M38&lt;'Scoring Methodology'!$F$17,"Moderate",IF(M38&lt;'Scoring Methodology'!$F$18,"High","Critical"))),"Invalid input"),"Invalid thresholds"),"Invalid thresholds"))</f>
        <v/>
      </c>
      <c r="O38" s="3"/>
      <c r="P38" s="3"/>
      <c r="Q38" s="3"/>
      <c r="R38" s="3"/>
      <c r="S38" s="3"/>
      <c r="T38" s="3"/>
      <c r="U38" s="3"/>
      <c r="V38" s="4" t="str">
        <f t="shared" si="1"/>
        <v/>
      </c>
      <c r="W38" s="4" t="str">
        <f>IF(V38="","",IFERROR(IF(AND(ISNUMBER('Scoring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Methodology'!$F$18,1)=0),IF(ISNUMBER(V38),IF(V38&lt;'Scoring Methodology'!$F$16,"Low",IF(V38&lt;'Scoring Methodology'!$F$17,"Moderate",IF(V38&lt;'Scoring Methodology'!$F$18,"High","Critical"))),"Invalid input"),"Invalid thresholds"),"Invalid thresholds"))</f>
        <v/>
      </c>
      <c r="X38" s="3"/>
      <c r="Y38" s="4">
        <f>IF(E38="",0,IF(AND(OR(Dashboard!$L$7="All",Q38=Dashboard!$L$7),OR(Dashboard!$T$7="All",N38=Dashboard!$T$7)),1,0))</f>
        <v>0</v>
      </c>
    </row>
    <row r="39" spans="1:25" ht="26.1" customHeight="1">
      <c r="A39" s="18"/>
      <c r="B39" s="18"/>
      <c r="C39" s="18"/>
      <c r="D39" s="18"/>
      <c r="E39" s="3"/>
      <c r="F39" s="3"/>
      <c r="G39" s="3"/>
      <c r="H39" s="3"/>
      <c r="I39" s="3"/>
      <c r="J39" s="3"/>
      <c r="K39" s="3"/>
      <c r="L39" s="3"/>
      <c r="M39" s="4" t="str">
        <f t="shared" ref="M39:M70" si="2">IF(E39="","",IF(OR(K39="",L39=""),"",IF(AND(ISNUMBER(K39),ISNUMBER(L39),K39&gt;=1,K39&lt;=5,L39&gt;=1,L39&lt;=5,MOD(K39,1)=0,MOD(L39,1)=0),K39*L39,"Invalid input")))</f>
        <v/>
      </c>
      <c r="N39" s="4" t="str">
        <f>IF(M39="","",IFERROR(IF(AND(ISNUMBER('Scoring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Methodology'!$F$18,1)=0),IF(ISNUMBER(M39),IF(M39&lt;'Scoring Methodology'!$F$16,"Low",IF(M39&lt;'Scoring Methodology'!$F$17,"Moderate",IF(M39&lt;'Scoring Methodology'!$F$18,"High","Critical"))),"Invalid input"),"Invalid thresholds"),"Invalid thresholds"))</f>
        <v/>
      </c>
      <c r="O39" s="3"/>
      <c r="P39" s="3"/>
      <c r="Q39" s="3"/>
      <c r="R39" s="3"/>
      <c r="S39" s="3"/>
      <c r="T39" s="3"/>
      <c r="U39" s="3"/>
      <c r="V39" s="4" t="str">
        <f t="shared" ref="V39:V70" si="3">IF(E39="","",IF(OR(T39="",U39=""),"",IF(AND(ISNUMBER(T39),ISNUMBER(U39),T39&gt;=1,T39&lt;=5,U39&gt;=1,U39&lt;=5,MOD(T39,1)=0,MOD(U39,1)=0),T39*U39,"Invalid input")))</f>
        <v/>
      </c>
      <c r="W39" s="4" t="str">
        <f>IF(V39="","",IFERROR(IF(AND(ISNUMBER('Scoring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Methodology'!$F$18,1)=0),IF(ISNUMBER(V39),IF(V39&lt;'Scoring Methodology'!$F$16,"Low",IF(V39&lt;'Scoring Methodology'!$F$17,"Moderate",IF(V39&lt;'Scoring Methodology'!$F$18,"High","Critical"))),"Invalid input"),"Invalid thresholds"),"Invalid thresholds"))</f>
        <v/>
      </c>
      <c r="X39" s="3"/>
      <c r="Y39" s="4">
        <f>IF(E39="",0,IF(AND(OR(Dashboard!$L$7="All",Q39=Dashboard!$L$7),OR(Dashboard!$T$7="All",N39=Dashboard!$T$7)),1,0))</f>
        <v>0</v>
      </c>
    </row>
    <row r="40" spans="1:25" ht="26.1" customHeight="1">
      <c r="A40" s="18"/>
      <c r="B40" s="18"/>
      <c r="C40" s="18"/>
      <c r="D40" s="18"/>
      <c r="E40" s="3"/>
      <c r="F40" s="3"/>
      <c r="G40" s="3"/>
      <c r="H40" s="3"/>
      <c r="I40" s="3"/>
      <c r="J40" s="3"/>
      <c r="K40" s="3"/>
      <c r="L40" s="3"/>
      <c r="M40" s="4" t="str">
        <f t="shared" si="2"/>
        <v/>
      </c>
      <c r="N40" s="4" t="str">
        <f>IF(M40="","",IFERROR(IF(AND(ISNUMBER('Scoring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Methodology'!$F$18,1)=0),IF(ISNUMBER(M40),IF(M40&lt;'Scoring Methodology'!$F$16,"Low",IF(M40&lt;'Scoring Methodology'!$F$17,"Moderate",IF(M40&lt;'Scoring Methodology'!$F$18,"High","Critical"))),"Invalid input"),"Invalid thresholds"),"Invalid thresholds"))</f>
        <v/>
      </c>
      <c r="O40" s="3"/>
      <c r="P40" s="3"/>
      <c r="Q40" s="3"/>
      <c r="R40" s="3"/>
      <c r="S40" s="3"/>
      <c r="T40" s="3"/>
      <c r="U40" s="3"/>
      <c r="V40" s="4" t="str">
        <f t="shared" si="3"/>
        <v/>
      </c>
      <c r="W40" s="4" t="str">
        <f>IF(V40="","",IFERROR(IF(AND(ISNUMBER('Scoring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Methodology'!$F$18,1)=0),IF(ISNUMBER(V40),IF(V40&lt;'Scoring Methodology'!$F$16,"Low",IF(V40&lt;'Scoring Methodology'!$F$17,"Moderate",IF(V40&lt;'Scoring Methodology'!$F$18,"High","Critical"))),"Invalid input"),"Invalid thresholds"),"Invalid thresholds"))</f>
        <v/>
      </c>
      <c r="X40" s="3"/>
      <c r="Y40" s="4">
        <f>IF(E40="",0,IF(AND(OR(Dashboard!$L$7="All",Q40=Dashboard!$L$7),OR(Dashboard!$T$7="All",N40=Dashboard!$T$7)),1,0))</f>
        <v>0</v>
      </c>
    </row>
    <row r="41" spans="1:25" ht="26.1" customHeight="1">
      <c r="A41" s="18"/>
      <c r="B41" s="18"/>
      <c r="C41" s="18"/>
      <c r="D41" s="18"/>
      <c r="E41" s="3"/>
      <c r="F41" s="3"/>
      <c r="G41" s="3"/>
      <c r="H41" s="3"/>
      <c r="I41" s="3"/>
      <c r="J41" s="3"/>
      <c r="K41" s="3"/>
      <c r="L41" s="3"/>
      <c r="M41" s="4" t="str">
        <f t="shared" si="2"/>
        <v/>
      </c>
      <c r="N41" s="4" t="str">
        <f>IF(M41="","",IFERROR(IF(AND(ISNUMBER('Scoring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Methodology'!$F$18,1)=0),IF(ISNUMBER(M41),IF(M41&lt;'Scoring Methodology'!$F$16,"Low",IF(M41&lt;'Scoring Methodology'!$F$17,"Moderate",IF(M41&lt;'Scoring Methodology'!$F$18,"High","Critical"))),"Invalid input"),"Invalid thresholds"),"Invalid thresholds"))</f>
        <v/>
      </c>
      <c r="O41" s="3"/>
      <c r="P41" s="3"/>
      <c r="Q41" s="3"/>
      <c r="R41" s="3"/>
      <c r="S41" s="3"/>
      <c r="T41" s="3"/>
      <c r="U41" s="3"/>
      <c r="V41" s="4" t="str">
        <f t="shared" si="3"/>
        <v/>
      </c>
      <c r="W41" s="4" t="str">
        <f>IF(V41="","",IFERROR(IF(AND(ISNUMBER('Scoring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Methodology'!$F$18,1)=0),IF(ISNUMBER(V41),IF(V41&lt;'Scoring Methodology'!$F$16,"Low",IF(V41&lt;'Scoring Methodology'!$F$17,"Moderate",IF(V41&lt;'Scoring Methodology'!$F$18,"High","Critical"))),"Invalid input"),"Invalid thresholds"),"Invalid thresholds"))</f>
        <v/>
      </c>
      <c r="X41" s="3"/>
      <c r="Y41" s="4">
        <f>IF(E41="",0,IF(AND(OR(Dashboard!$L$7="All",Q41=Dashboard!$L$7),OR(Dashboard!$T$7="All",N41=Dashboard!$T$7)),1,0))</f>
        <v>0</v>
      </c>
    </row>
    <row r="42" spans="1:25" ht="26.1" customHeight="1">
      <c r="A42" s="18"/>
      <c r="B42" s="18"/>
      <c r="C42" s="18"/>
      <c r="D42" s="18"/>
      <c r="E42" s="3"/>
      <c r="F42" s="3"/>
      <c r="G42" s="3"/>
      <c r="H42" s="3"/>
      <c r="I42" s="3"/>
      <c r="J42" s="3"/>
      <c r="K42" s="3"/>
      <c r="L42" s="3"/>
      <c r="M42" s="4" t="str">
        <f t="shared" si="2"/>
        <v/>
      </c>
      <c r="N42" s="4" t="str">
        <f>IF(M42="","",IFERROR(IF(AND(ISNUMBER('Scoring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Methodology'!$F$18,1)=0),IF(ISNUMBER(M42),IF(M42&lt;'Scoring Methodology'!$F$16,"Low",IF(M42&lt;'Scoring Methodology'!$F$17,"Moderate",IF(M42&lt;'Scoring Methodology'!$F$18,"High","Critical"))),"Invalid input"),"Invalid thresholds"),"Invalid thresholds"))</f>
        <v/>
      </c>
      <c r="O42" s="3"/>
      <c r="P42" s="3"/>
      <c r="Q42" s="3"/>
      <c r="R42" s="3"/>
      <c r="S42" s="3"/>
      <c r="T42" s="3"/>
      <c r="U42" s="3"/>
      <c r="V42" s="4" t="str">
        <f t="shared" si="3"/>
        <v/>
      </c>
      <c r="W42" s="4" t="str">
        <f>IF(V42="","",IFERROR(IF(AND(ISNUMBER('Scoring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Methodology'!$F$18,1)=0),IF(ISNUMBER(V42),IF(V42&lt;'Scoring Methodology'!$F$16,"Low",IF(V42&lt;'Scoring Methodology'!$F$17,"Moderate",IF(V42&lt;'Scoring Methodology'!$F$18,"High","Critical"))),"Invalid input"),"Invalid thresholds"),"Invalid thresholds"))</f>
        <v/>
      </c>
      <c r="X42" s="3"/>
      <c r="Y42" s="4">
        <f>IF(E42="",0,IF(AND(OR(Dashboard!$L$7="All",Q42=Dashboard!$L$7),OR(Dashboard!$T$7="All",N42=Dashboard!$T$7)),1,0))</f>
        <v>0</v>
      </c>
    </row>
    <row r="43" spans="1:25" ht="26.1" customHeight="1">
      <c r="A43" s="18"/>
      <c r="B43" s="18"/>
      <c r="C43" s="18"/>
      <c r="D43" s="18"/>
      <c r="E43" s="3"/>
      <c r="F43" s="3"/>
      <c r="G43" s="3"/>
      <c r="H43" s="3"/>
      <c r="I43" s="3"/>
      <c r="J43" s="3"/>
      <c r="K43" s="3"/>
      <c r="L43" s="3"/>
      <c r="M43" s="4" t="str">
        <f t="shared" si="2"/>
        <v/>
      </c>
      <c r="N43" s="4" t="str">
        <f>IF(M43="","",IFERROR(IF(AND(ISNUMBER('Scoring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Methodology'!$F$18,1)=0),IF(ISNUMBER(M43),IF(M43&lt;'Scoring Methodology'!$F$16,"Low",IF(M43&lt;'Scoring Methodology'!$F$17,"Moderate",IF(M43&lt;'Scoring Methodology'!$F$18,"High","Critical"))),"Invalid input"),"Invalid thresholds"),"Invalid thresholds"))</f>
        <v/>
      </c>
      <c r="O43" s="3"/>
      <c r="P43" s="3"/>
      <c r="Q43" s="3"/>
      <c r="R43" s="3"/>
      <c r="S43" s="3"/>
      <c r="T43" s="3"/>
      <c r="U43" s="3"/>
      <c r="V43" s="4" t="str">
        <f t="shared" si="3"/>
        <v/>
      </c>
      <c r="W43" s="4" t="str">
        <f>IF(V43="","",IFERROR(IF(AND(ISNUMBER('Scoring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Methodology'!$F$18,1)=0),IF(ISNUMBER(V43),IF(V43&lt;'Scoring Methodology'!$F$16,"Low",IF(V43&lt;'Scoring Methodology'!$F$17,"Moderate",IF(V43&lt;'Scoring Methodology'!$F$18,"High","Critical"))),"Invalid input"),"Invalid thresholds"),"Invalid thresholds"))</f>
        <v/>
      </c>
      <c r="X43" s="3"/>
      <c r="Y43" s="4">
        <f>IF(E43="",0,IF(AND(OR(Dashboard!$L$7="All",Q43=Dashboard!$L$7),OR(Dashboard!$T$7="All",N43=Dashboard!$T$7)),1,0))</f>
        <v>0</v>
      </c>
    </row>
    <row r="44" spans="1:25" ht="26.1" customHeight="1">
      <c r="A44" s="18"/>
      <c r="B44" s="18"/>
      <c r="C44" s="18"/>
      <c r="D44" s="18"/>
      <c r="E44" s="3"/>
      <c r="F44" s="3"/>
      <c r="G44" s="3"/>
      <c r="H44" s="3"/>
      <c r="I44" s="3"/>
      <c r="J44" s="3"/>
      <c r="K44" s="3"/>
      <c r="L44" s="3"/>
      <c r="M44" s="4" t="str">
        <f t="shared" si="2"/>
        <v/>
      </c>
      <c r="N44" s="4" t="str">
        <f>IF(M44="","",IFERROR(IF(AND(ISNUMBER('Scoring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Methodology'!$F$18,1)=0),IF(ISNUMBER(M44),IF(M44&lt;'Scoring Methodology'!$F$16,"Low",IF(M44&lt;'Scoring Methodology'!$F$17,"Moderate",IF(M44&lt;'Scoring Methodology'!$F$18,"High","Critical"))),"Invalid input"),"Invalid thresholds"),"Invalid thresholds"))</f>
        <v/>
      </c>
      <c r="O44" s="3"/>
      <c r="P44" s="3"/>
      <c r="Q44" s="3"/>
      <c r="R44" s="3"/>
      <c r="S44" s="3"/>
      <c r="T44" s="3"/>
      <c r="U44" s="3"/>
      <c r="V44" s="4" t="str">
        <f t="shared" si="3"/>
        <v/>
      </c>
      <c r="W44" s="4" t="str">
        <f>IF(V44="","",IFERROR(IF(AND(ISNUMBER('Scoring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Methodology'!$F$18,1)=0),IF(ISNUMBER(V44),IF(V44&lt;'Scoring Methodology'!$F$16,"Low",IF(V44&lt;'Scoring Methodology'!$F$17,"Moderate",IF(V44&lt;'Scoring Methodology'!$F$18,"High","Critical"))),"Invalid input"),"Invalid thresholds"),"Invalid thresholds"))</f>
        <v/>
      </c>
      <c r="X44" s="3"/>
      <c r="Y44" s="4">
        <f>IF(E44="",0,IF(AND(OR(Dashboard!$L$7="All",Q44=Dashboard!$L$7),OR(Dashboard!$T$7="All",N44=Dashboard!$T$7)),1,0))</f>
        <v>0</v>
      </c>
    </row>
    <row r="45" spans="1:25" ht="26.1" customHeight="1">
      <c r="A45" s="18"/>
      <c r="B45" s="18"/>
      <c r="C45" s="18"/>
      <c r="D45" s="18"/>
      <c r="E45" s="3"/>
      <c r="F45" s="3"/>
      <c r="G45" s="3"/>
      <c r="H45" s="3"/>
      <c r="I45" s="3"/>
      <c r="J45" s="3"/>
      <c r="K45" s="3"/>
      <c r="L45" s="3"/>
      <c r="M45" s="4" t="str">
        <f t="shared" si="2"/>
        <v/>
      </c>
      <c r="N45" s="4" t="str">
        <f>IF(M45="","",IFERROR(IF(AND(ISNUMBER('Scoring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Methodology'!$F$18,1)=0),IF(ISNUMBER(M45),IF(M45&lt;'Scoring Methodology'!$F$16,"Low",IF(M45&lt;'Scoring Methodology'!$F$17,"Moderate",IF(M45&lt;'Scoring Methodology'!$F$18,"High","Critical"))),"Invalid input"),"Invalid thresholds"),"Invalid thresholds"))</f>
        <v/>
      </c>
      <c r="O45" s="3"/>
      <c r="P45" s="3"/>
      <c r="Q45" s="3"/>
      <c r="R45" s="3"/>
      <c r="S45" s="3"/>
      <c r="T45" s="3"/>
      <c r="U45" s="3"/>
      <c r="V45" s="4" t="str">
        <f t="shared" si="3"/>
        <v/>
      </c>
      <c r="W45" s="4" t="str">
        <f>IF(V45="","",IFERROR(IF(AND(ISNUMBER('Scoring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Methodology'!$F$18,1)=0),IF(ISNUMBER(V45),IF(V45&lt;'Scoring Methodology'!$F$16,"Low",IF(V45&lt;'Scoring Methodology'!$F$17,"Moderate",IF(V45&lt;'Scoring Methodology'!$F$18,"High","Critical"))),"Invalid input"),"Invalid thresholds"),"Invalid thresholds"))</f>
        <v/>
      </c>
      <c r="X45" s="3"/>
      <c r="Y45" s="4">
        <f>IF(E45="",0,IF(AND(OR(Dashboard!$L$7="All",Q45=Dashboard!$L$7),OR(Dashboard!$T$7="All",N45=Dashboard!$T$7)),1,0))</f>
        <v>0</v>
      </c>
    </row>
    <row r="46" spans="1:25" ht="26.1" customHeight="1">
      <c r="A46" s="18"/>
      <c r="B46" s="18"/>
      <c r="C46" s="18"/>
      <c r="D46" s="18"/>
      <c r="E46" s="3"/>
      <c r="F46" s="3"/>
      <c r="G46" s="3"/>
      <c r="H46" s="3"/>
      <c r="I46" s="3"/>
      <c r="J46" s="3"/>
      <c r="K46" s="3"/>
      <c r="L46" s="3"/>
      <c r="M46" s="4" t="str">
        <f t="shared" si="2"/>
        <v/>
      </c>
      <c r="N46" s="4" t="str">
        <f>IF(M46="","",IFERROR(IF(AND(ISNUMBER('Scoring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Methodology'!$F$18,1)=0),IF(ISNUMBER(M46),IF(M46&lt;'Scoring Methodology'!$F$16,"Low",IF(M46&lt;'Scoring Methodology'!$F$17,"Moderate",IF(M46&lt;'Scoring Methodology'!$F$18,"High","Critical"))),"Invalid input"),"Invalid thresholds"),"Invalid thresholds"))</f>
        <v/>
      </c>
      <c r="O46" s="3"/>
      <c r="P46" s="3"/>
      <c r="Q46" s="3"/>
      <c r="R46" s="3"/>
      <c r="S46" s="3"/>
      <c r="T46" s="3"/>
      <c r="U46" s="3"/>
      <c r="V46" s="4" t="str">
        <f t="shared" si="3"/>
        <v/>
      </c>
      <c r="W46" s="4" t="str">
        <f>IF(V46="","",IFERROR(IF(AND(ISNUMBER('Scoring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Methodology'!$F$18,1)=0),IF(ISNUMBER(V46),IF(V46&lt;'Scoring Methodology'!$F$16,"Low",IF(V46&lt;'Scoring Methodology'!$F$17,"Moderate",IF(V46&lt;'Scoring Methodology'!$F$18,"High","Critical"))),"Invalid input"),"Invalid thresholds"),"Invalid thresholds"))</f>
        <v/>
      </c>
      <c r="X46" s="3"/>
      <c r="Y46" s="4">
        <f>IF(E46="",0,IF(AND(OR(Dashboard!$L$7="All",Q46=Dashboard!$L$7),OR(Dashboard!$T$7="All",N46=Dashboard!$T$7)),1,0))</f>
        <v>0</v>
      </c>
    </row>
    <row r="47" spans="1:25" ht="26.1" customHeight="1">
      <c r="A47" s="18"/>
      <c r="B47" s="18"/>
      <c r="C47" s="18"/>
      <c r="D47" s="18"/>
      <c r="E47" s="3"/>
      <c r="F47" s="3"/>
      <c r="G47" s="3"/>
      <c r="H47" s="3"/>
      <c r="I47" s="3"/>
      <c r="J47" s="3"/>
      <c r="K47" s="3"/>
      <c r="L47" s="3"/>
      <c r="M47" s="4" t="str">
        <f t="shared" si="2"/>
        <v/>
      </c>
      <c r="N47" s="4" t="str">
        <f>IF(M47="","",IFERROR(IF(AND(ISNUMBER('Scoring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Methodology'!$F$18,1)=0),IF(ISNUMBER(M47),IF(M47&lt;'Scoring Methodology'!$F$16,"Low",IF(M47&lt;'Scoring Methodology'!$F$17,"Moderate",IF(M47&lt;'Scoring Methodology'!$F$18,"High","Critical"))),"Invalid input"),"Invalid thresholds"),"Invalid thresholds"))</f>
        <v/>
      </c>
      <c r="O47" s="3"/>
      <c r="P47" s="3"/>
      <c r="Q47" s="3"/>
      <c r="R47" s="3"/>
      <c r="S47" s="3"/>
      <c r="T47" s="3"/>
      <c r="U47" s="3"/>
      <c r="V47" s="4" t="str">
        <f t="shared" si="3"/>
        <v/>
      </c>
      <c r="W47" s="4" t="str">
        <f>IF(V47="","",IFERROR(IF(AND(ISNUMBER('Scoring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Methodology'!$F$18,1)=0),IF(ISNUMBER(V47),IF(V47&lt;'Scoring Methodology'!$F$16,"Low",IF(V47&lt;'Scoring Methodology'!$F$17,"Moderate",IF(V47&lt;'Scoring Methodology'!$F$18,"High","Critical"))),"Invalid input"),"Invalid thresholds"),"Invalid thresholds"))</f>
        <v/>
      </c>
      <c r="X47" s="3"/>
      <c r="Y47" s="4">
        <f>IF(E47="",0,IF(AND(OR(Dashboard!$L$7="All",Q47=Dashboard!$L$7),OR(Dashboard!$T$7="All",N47=Dashboard!$T$7)),1,0))</f>
        <v>0</v>
      </c>
    </row>
    <row r="48" spans="1:25" ht="26.1" customHeight="1">
      <c r="A48" s="18"/>
      <c r="B48" s="18"/>
      <c r="C48" s="18"/>
      <c r="D48" s="18"/>
      <c r="E48" s="3"/>
      <c r="F48" s="3"/>
      <c r="G48" s="3"/>
      <c r="H48" s="3"/>
      <c r="I48" s="3"/>
      <c r="J48" s="3"/>
      <c r="K48" s="3"/>
      <c r="L48" s="3"/>
      <c r="M48" s="4" t="str">
        <f t="shared" si="2"/>
        <v/>
      </c>
      <c r="N48" s="4" t="str">
        <f>IF(M48="","",IFERROR(IF(AND(ISNUMBER('Scoring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Methodology'!$F$18,1)=0),IF(ISNUMBER(M48),IF(M48&lt;'Scoring Methodology'!$F$16,"Low",IF(M48&lt;'Scoring Methodology'!$F$17,"Moderate",IF(M48&lt;'Scoring Methodology'!$F$18,"High","Critical"))),"Invalid input"),"Invalid thresholds"),"Invalid thresholds"))</f>
        <v/>
      </c>
      <c r="O48" s="3"/>
      <c r="P48" s="3"/>
      <c r="Q48" s="3"/>
      <c r="R48" s="3"/>
      <c r="S48" s="3"/>
      <c r="T48" s="3"/>
      <c r="U48" s="3"/>
      <c r="V48" s="4" t="str">
        <f t="shared" si="3"/>
        <v/>
      </c>
      <c r="W48" s="4" t="str">
        <f>IF(V48="","",IFERROR(IF(AND(ISNUMBER('Scoring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Methodology'!$F$18,1)=0),IF(ISNUMBER(V48),IF(V48&lt;'Scoring Methodology'!$F$16,"Low",IF(V48&lt;'Scoring Methodology'!$F$17,"Moderate",IF(V48&lt;'Scoring Methodology'!$F$18,"High","Critical"))),"Invalid input"),"Invalid thresholds"),"Invalid thresholds"))</f>
        <v/>
      </c>
      <c r="X48" s="3"/>
      <c r="Y48" s="4">
        <f>IF(E48="",0,IF(AND(OR(Dashboard!$L$7="All",Q48=Dashboard!$L$7),OR(Dashboard!$T$7="All",N48=Dashboard!$T$7)),1,0))</f>
        <v>0</v>
      </c>
    </row>
    <row r="49" spans="1:25" ht="26.1" customHeight="1">
      <c r="A49" s="18"/>
      <c r="B49" s="18"/>
      <c r="C49" s="18"/>
      <c r="D49" s="18"/>
      <c r="E49" s="3"/>
      <c r="F49" s="3"/>
      <c r="G49" s="3"/>
      <c r="H49" s="3"/>
      <c r="I49" s="3"/>
      <c r="J49" s="3"/>
      <c r="K49" s="3"/>
      <c r="L49" s="3"/>
      <c r="M49" s="4" t="str">
        <f t="shared" si="2"/>
        <v/>
      </c>
      <c r="N49" s="4" t="str">
        <f>IF(M49="","",IFERROR(IF(AND(ISNUMBER('Scoring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Methodology'!$F$18,1)=0),IF(ISNUMBER(M49),IF(M49&lt;'Scoring Methodology'!$F$16,"Low",IF(M49&lt;'Scoring Methodology'!$F$17,"Moderate",IF(M49&lt;'Scoring Methodology'!$F$18,"High","Critical"))),"Invalid input"),"Invalid thresholds"),"Invalid thresholds"))</f>
        <v/>
      </c>
      <c r="O49" s="3"/>
      <c r="P49" s="3"/>
      <c r="Q49" s="3"/>
      <c r="R49" s="3"/>
      <c r="S49" s="3"/>
      <c r="T49" s="3"/>
      <c r="U49" s="3"/>
      <c r="V49" s="4" t="str">
        <f t="shared" si="3"/>
        <v/>
      </c>
      <c r="W49" s="4" t="str">
        <f>IF(V49="","",IFERROR(IF(AND(ISNUMBER('Scoring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Methodology'!$F$18,1)=0),IF(ISNUMBER(V49),IF(V49&lt;'Scoring Methodology'!$F$16,"Low",IF(V49&lt;'Scoring Methodology'!$F$17,"Moderate",IF(V49&lt;'Scoring Methodology'!$F$18,"High","Critical"))),"Invalid input"),"Invalid thresholds"),"Invalid thresholds"))</f>
        <v/>
      </c>
      <c r="X49" s="3"/>
      <c r="Y49" s="4">
        <f>IF(E49="",0,IF(AND(OR(Dashboard!$L$7="All",Q49=Dashboard!$L$7),OR(Dashboard!$T$7="All",N49=Dashboard!$T$7)),1,0))</f>
        <v>0</v>
      </c>
    </row>
    <row r="50" spans="1:25" ht="26.1" customHeight="1">
      <c r="A50" s="18"/>
      <c r="B50" s="18"/>
      <c r="C50" s="18"/>
      <c r="D50" s="18"/>
      <c r="E50" s="3"/>
      <c r="F50" s="3"/>
      <c r="G50" s="3"/>
      <c r="H50" s="3"/>
      <c r="I50" s="3"/>
      <c r="J50" s="3"/>
      <c r="K50" s="3"/>
      <c r="L50" s="3"/>
      <c r="M50" s="4" t="str">
        <f t="shared" si="2"/>
        <v/>
      </c>
      <c r="N50" s="4" t="str">
        <f>IF(M50="","",IFERROR(IF(AND(ISNUMBER('Scoring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Methodology'!$F$18,1)=0),IF(ISNUMBER(M50),IF(M50&lt;'Scoring Methodology'!$F$16,"Low",IF(M50&lt;'Scoring Methodology'!$F$17,"Moderate",IF(M50&lt;'Scoring Methodology'!$F$18,"High","Critical"))),"Invalid input"),"Invalid thresholds"),"Invalid thresholds"))</f>
        <v/>
      </c>
      <c r="O50" s="3"/>
      <c r="P50" s="3"/>
      <c r="Q50" s="3"/>
      <c r="R50" s="3"/>
      <c r="S50" s="3"/>
      <c r="T50" s="3"/>
      <c r="U50" s="3"/>
      <c r="V50" s="4" t="str">
        <f t="shared" si="3"/>
        <v/>
      </c>
      <c r="W50" s="4" t="str">
        <f>IF(V50="","",IFERROR(IF(AND(ISNUMBER('Scoring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Methodology'!$F$18,1)=0),IF(ISNUMBER(V50),IF(V50&lt;'Scoring Methodology'!$F$16,"Low",IF(V50&lt;'Scoring Methodology'!$F$17,"Moderate",IF(V50&lt;'Scoring Methodology'!$F$18,"High","Critical"))),"Invalid input"),"Invalid thresholds"),"Invalid thresholds"))</f>
        <v/>
      </c>
      <c r="X50" s="3"/>
      <c r="Y50" s="4">
        <f>IF(E50="",0,IF(AND(OR(Dashboard!$L$7="All",Q50=Dashboard!$L$7),OR(Dashboard!$T$7="All",N50=Dashboard!$T$7)),1,0))</f>
        <v>0</v>
      </c>
    </row>
    <row r="51" spans="1:25" ht="26.1" customHeight="1">
      <c r="A51" s="18"/>
      <c r="B51" s="18"/>
      <c r="C51" s="18"/>
      <c r="D51" s="18"/>
      <c r="E51" s="3"/>
      <c r="F51" s="3"/>
      <c r="G51" s="3"/>
      <c r="H51" s="3"/>
      <c r="I51" s="3"/>
      <c r="J51" s="3"/>
      <c r="K51" s="3"/>
      <c r="L51" s="3"/>
      <c r="M51" s="4" t="str">
        <f t="shared" si="2"/>
        <v/>
      </c>
      <c r="N51" s="4" t="str">
        <f>IF(M51="","",IFERROR(IF(AND(ISNUMBER('Scoring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Methodology'!$F$18,1)=0),IF(ISNUMBER(M51),IF(M51&lt;'Scoring Methodology'!$F$16,"Low",IF(M51&lt;'Scoring Methodology'!$F$17,"Moderate",IF(M51&lt;'Scoring Methodology'!$F$18,"High","Critical"))),"Invalid input"),"Invalid thresholds"),"Invalid thresholds"))</f>
        <v/>
      </c>
      <c r="O51" s="3"/>
      <c r="P51" s="3"/>
      <c r="Q51" s="3"/>
      <c r="R51" s="3"/>
      <c r="S51" s="3"/>
      <c r="T51" s="3"/>
      <c r="U51" s="3"/>
      <c r="V51" s="4" t="str">
        <f t="shared" si="3"/>
        <v/>
      </c>
      <c r="W51" s="4" t="str">
        <f>IF(V51="","",IFERROR(IF(AND(ISNUMBER('Scoring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Methodology'!$F$18,1)=0),IF(ISNUMBER(V51),IF(V51&lt;'Scoring Methodology'!$F$16,"Low",IF(V51&lt;'Scoring Methodology'!$F$17,"Moderate",IF(V51&lt;'Scoring Methodology'!$F$18,"High","Critical"))),"Invalid input"),"Invalid thresholds"),"Invalid thresholds"))</f>
        <v/>
      </c>
      <c r="X51" s="3"/>
      <c r="Y51" s="4">
        <f>IF(E51="",0,IF(AND(OR(Dashboard!$L$7="All",Q51=Dashboard!$L$7),OR(Dashboard!$T$7="All",N51=Dashboard!$T$7)),1,0))</f>
        <v>0</v>
      </c>
    </row>
    <row r="52" spans="1:25" ht="26.1" customHeight="1">
      <c r="A52" s="18"/>
      <c r="B52" s="18"/>
      <c r="C52" s="18"/>
      <c r="D52" s="18"/>
      <c r="E52" s="3"/>
      <c r="F52" s="3"/>
      <c r="G52" s="3"/>
      <c r="H52" s="3"/>
      <c r="I52" s="3"/>
      <c r="J52" s="3"/>
      <c r="K52" s="3"/>
      <c r="L52" s="3"/>
      <c r="M52" s="4" t="str">
        <f t="shared" si="2"/>
        <v/>
      </c>
      <c r="N52" s="4" t="str">
        <f>IF(M52="","",IFERROR(IF(AND(ISNUMBER('Scoring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Methodology'!$F$18,1)=0),IF(ISNUMBER(M52),IF(M52&lt;'Scoring Methodology'!$F$16,"Low",IF(M52&lt;'Scoring Methodology'!$F$17,"Moderate",IF(M52&lt;'Scoring Methodology'!$F$18,"High","Critical"))),"Invalid input"),"Invalid thresholds"),"Invalid thresholds"))</f>
        <v/>
      </c>
      <c r="O52" s="3"/>
      <c r="P52" s="3"/>
      <c r="Q52" s="3"/>
      <c r="R52" s="3"/>
      <c r="S52" s="3"/>
      <c r="T52" s="3"/>
      <c r="U52" s="3"/>
      <c r="V52" s="4" t="str">
        <f t="shared" si="3"/>
        <v/>
      </c>
      <c r="W52" s="4" t="str">
        <f>IF(V52="","",IFERROR(IF(AND(ISNUMBER('Scoring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Methodology'!$F$18,1)=0),IF(ISNUMBER(V52),IF(V52&lt;'Scoring Methodology'!$F$16,"Low",IF(V52&lt;'Scoring Methodology'!$F$17,"Moderate",IF(V52&lt;'Scoring Methodology'!$F$18,"High","Critical"))),"Invalid input"),"Invalid thresholds"),"Invalid thresholds"))</f>
        <v/>
      </c>
      <c r="X52" s="3"/>
      <c r="Y52" s="4">
        <f>IF(E52="",0,IF(AND(OR(Dashboard!$L$7="All",Q52=Dashboard!$L$7),OR(Dashboard!$T$7="All",N52=Dashboard!$T$7)),1,0))</f>
        <v>0</v>
      </c>
    </row>
    <row r="53" spans="1:25" ht="26.1" customHeight="1">
      <c r="A53" s="18"/>
      <c r="B53" s="18"/>
      <c r="C53" s="18"/>
      <c r="D53" s="18"/>
      <c r="E53" s="3"/>
      <c r="F53" s="3"/>
      <c r="G53" s="3"/>
      <c r="H53" s="3"/>
      <c r="I53" s="3"/>
      <c r="J53" s="3"/>
      <c r="K53" s="3"/>
      <c r="L53" s="3"/>
      <c r="M53" s="4" t="str">
        <f t="shared" si="2"/>
        <v/>
      </c>
      <c r="N53" s="4" t="str">
        <f>IF(M53="","",IFERROR(IF(AND(ISNUMBER('Scoring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Methodology'!$F$18,1)=0),IF(ISNUMBER(M53),IF(M53&lt;'Scoring Methodology'!$F$16,"Low",IF(M53&lt;'Scoring Methodology'!$F$17,"Moderate",IF(M53&lt;'Scoring Methodology'!$F$18,"High","Critical"))),"Invalid input"),"Invalid thresholds"),"Invalid thresholds"))</f>
        <v/>
      </c>
      <c r="O53" s="3"/>
      <c r="P53" s="3"/>
      <c r="Q53" s="3"/>
      <c r="R53" s="3"/>
      <c r="S53" s="3"/>
      <c r="T53" s="3"/>
      <c r="U53" s="3"/>
      <c r="V53" s="4" t="str">
        <f t="shared" si="3"/>
        <v/>
      </c>
      <c r="W53" s="4" t="str">
        <f>IF(V53="","",IFERROR(IF(AND(ISNUMBER('Scoring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Methodology'!$F$18,1)=0),IF(ISNUMBER(V53),IF(V53&lt;'Scoring Methodology'!$F$16,"Low",IF(V53&lt;'Scoring Methodology'!$F$17,"Moderate",IF(V53&lt;'Scoring Methodology'!$F$18,"High","Critical"))),"Invalid input"),"Invalid thresholds"),"Invalid thresholds"))</f>
        <v/>
      </c>
      <c r="X53" s="3"/>
      <c r="Y53" s="4">
        <f>IF(E53="",0,IF(AND(OR(Dashboard!$L$7="All",Q53=Dashboard!$L$7),OR(Dashboard!$T$7="All",N53=Dashboard!$T$7)),1,0))</f>
        <v>0</v>
      </c>
    </row>
    <row r="54" spans="1:25" ht="26.1" customHeight="1">
      <c r="A54" s="18"/>
      <c r="B54" s="18"/>
      <c r="C54" s="18"/>
      <c r="D54" s="18"/>
      <c r="E54" s="3"/>
      <c r="F54" s="3"/>
      <c r="G54" s="3"/>
      <c r="H54" s="3"/>
      <c r="I54" s="3"/>
      <c r="J54" s="3"/>
      <c r="K54" s="3"/>
      <c r="L54" s="3"/>
      <c r="M54" s="4" t="str">
        <f t="shared" si="2"/>
        <v/>
      </c>
      <c r="N54" s="4" t="str">
        <f>IF(M54="","",IFERROR(IF(AND(ISNUMBER('Scoring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Methodology'!$F$18,1)=0),IF(ISNUMBER(M54),IF(M54&lt;'Scoring Methodology'!$F$16,"Low",IF(M54&lt;'Scoring Methodology'!$F$17,"Moderate",IF(M54&lt;'Scoring Methodology'!$F$18,"High","Critical"))),"Invalid input"),"Invalid thresholds"),"Invalid thresholds"))</f>
        <v/>
      </c>
      <c r="O54" s="3"/>
      <c r="P54" s="3"/>
      <c r="Q54" s="3"/>
      <c r="R54" s="3"/>
      <c r="S54" s="3"/>
      <c r="T54" s="3"/>
      <c r="U54" s="3"/>
      <c r="V54" s="4" t="str">
        <f t="shared" si="3"/>
        <v/>
      </c>
      <c r="W54" s="4" t="str">
        <f>IF(V54="","",IFERROR(IF(AND(ISNUMBER('Scoring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Methodology'!$F$18,1)=0),IF(ISNUMBER(V54),IF(V54&lt;'Scoring Methodology'!$F$16,"Low",IF(V54&lt;'Scoring Methodology'!$F$17,"Moderate",IF(V54&lt;'Scoring Methodology'!$F$18,"High","Critical"))),"Invalid input"),"Invalid thresholds"),"Invalid thresholds"))</f>
        <v/>
      </c>
      <c r="X54" s="3"/>
      <c r="Y54" s="4">
        <f>IF(E54="",0,IF(AND(OR(Dashboard!$L$7="All",Q54=Dashboard!$L$7),OR(Dashboard!$T$7="All",N54=Dashboard!$T$7)),1,0))</f>
        <v>0</v>
      </c>
    </row>
    <row r="55" spans="1:25" ht="26.1" customHeight="1">
      <c r="A55" s="18"/>
      <c r="B55" s="18"/>
      <c r="C55" s="18"/>
      <c r="D55" s="18"/>
      <c r="E55" s="3"/>
      <c r="F55" s="3"/>
      <c r="G55" s="3"/>
      <c r="H55" s="3"/>
      <c r="I55" s="3"/>
      <c r="J55" s="3"/>
      <c r="K55" s="3"/>
      <c r="L55" s="3"/>
      <c r="M55" s="4" t="str">
        <f t="shared" si="2"/>
        <v/>
      </c>
      <c r="N55" s="4" t="str">
        <f>IF(M55="","",IFERROR(IF(AND(ISNUMBER('Scoring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Methodology'!$F$18,1)=0),IF(ISNUMBER(M55),IF(M55&lt;'Scoring Methodology'!$F$16,"Low",IF(M55&lt;'Scoring Methodology'!$F$17,"Moderate",IF(M55&lt;'Scoring Methodology'!$F$18,"High","Critical"))),"Invalid input"),"Invalid thresholds"),"Invalid thresholds"))</f>
        <v/>
      </c>
      <c r="O55" s="3"/>
      <c r="P55" s="3"/>
      <c r="Q55" s="3"/>
      <c r="R55" s="3"/>
      <c r="S55" s="3"/>
      <c r="T55" s="3"/>
      <c r="U55" s="3"/>
      <c r="V55" s="4" t="str">
        <f t="shared" si="3"/>
        <v/>
      </c>
      <c r="W55" s="4" t="str">
        <f>IF(V55="","",IFERROR(IF(AND(ISNUMBER('Scoring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Methodology'!$F$18,1)=0),IF(ISNUMBER(V55),IF(V55&lt;'Scoring Methodology'!$F$16,"Low",IF(V55&lt;'Scoring Methodology'!$F$17,"Moderate",IF(V55&lt;'Scoring Methodology'!$F$18,"High","Critical"))),"Invalid input"),"Invalid thresholds"),"Invalid thresholds"))</f>
        <v/>
      </c>
      <c r="X55" s="3"/>
      <c r="Y55" s="4">
        <f>IF(E55="",0,IF(AND(OR(Dashboard!$L$7="All",Q55=Dashboard!$L$7),OR(Dashboard!$T$7="All",N55=Dashboard!$T$7)),1,0))</f>
        <v>0</v>
      </c>
    </row>
    <row r="56" spans="1:25" ht="26.1" customHeight="1">
      <c r="A56" s="18"/>
      <c r="B56" s="18"/>
      <c r="C56" s="18"/>
      <c r="D56" s="18"/>
      <c r="E56" s="3"/>
      <c r="F56" s="3"/>
      <c r="G56" s="3"/>
      <c r="H56" s="3"/>
      <c r="I56" s="3"/>
      <c r="J56" s="3"/>
      <c r="K56" s="3"/>
      <c r="L56" s="3"/>
      <c r="M56" s="4" t="str">
        <f t="shared" si="2"/>
        <v/>
      </c>
      <c r="N56" s="4" t="str">
        <f>IF(M56="","",IFERROR(IF(AND(ISNUMBER('Scoring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Methodology'!$F$18,1)=0),IF(ISNUMBER(M56),IF(M56&lt;'Scoring Methodology'!$F$16,"Low",IF(M56&lt;'Scoring Methodology'!$F$17,"Moderate",IF(M56&lt;'Scoring Methodology'!$F$18,"High","Critical"))),"Invalid input"),"Invalid thresholds"),"Invalid thresholds"))</f>
        <v/>
      </c>
      <c r="O56" s="3"/>
      <c r="P56" s="3"/>
      <c r="Q56" s="3"/>
      <c r="R56" s="3"/>
      <c r="S56" s="3"/>
      <c r="T56" s="3"/>
      <c r="U56" s="3"/>
      <c r="V56" s="4" t="str">
        <f t="shared" si="3"/>
        <v/>
      </c>
      <c r="W56" s="4" t="str">
        <f>IF(V56="","",IFERROR(IF(AND(ISNUMBER('Scoring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Methodology'!$F$18,1)=0),IF(ISNUMBER(V56),IF(V56&lt;'Scoring Methodology'!$F$16,"Low",IF(V56&lt;'Scoring Methodology'!$F$17,"Moderate",IF(V56&lt;'Scoring Methodology'!$F$18,"High","Critical"))),"Invalid input"),"Invalid thresholds"),"Invalid thresholds"))</f>
        <v/>
      </c>
      <c r="X56" s="3"/>
      <c r="Y56" s="4">
        <f>IF(E56="",0,IF(AND(OR(Dashboard!$L$7="All",Q56=Dashboard!$L$7),OR(Dashboard!$T$7="All",N56=Dashboard!$T$7)),1,0))</f>
        <v>0</v>
      </c>
    </row>
    <row r="57" spans="1:25" ht="26.1" customHeight="1">
      <c r="A57" s="18"/>
      <c r="B57" s="18"/>
      <c r="C57" s="18"/>
      <c r="D57" s="18"/>
      <c r="E57" s="3"/>
      <c r="F57" s="3"/>
      <c r="G57" s="3"/>
      <c r="H57" s="3"/>
      <c r="I57" s="3"/>
      <c r="J57" s="3"/>
      <c r="K57" s="3"/>
      <c r="L57" s="3"/>
      <c r="M57" s="4" t="str">
        <f t="shared" si="2"/>
        <v/>
      </c>
      <c r="N57" s="4" t="str">
        <f>IF(M57="","",IFERROR(IF(AND(ISNUMBER('Scoring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Methodology'!$F$18,1)=0),IF(ISNUMBER(M57),IF(M57&lt;'Scoring Methodology'!$F$16,"Low",IF(M57&lt;'Scoring Methodology'!$F$17,"Moderate",IF(M57&lt;'Scoring Methodology'!$F$18,"High","Critical"))),"Invalid input"),"Invalid thresholds"),"Invalid thresholds"))</f>
        <v/>
      </c>
      <c r="O57" s="3"/>
      <c r="P57" s="3"/>
      <c r="Q57" s="3"/>
      <c r="R57" s="3"/>
      <c r="S57" s="3"/>
      <c r="T57" s="3"/>
      <c r="U57" s="3"/>
      <c r="V57" s="4" t="str">
        <f t="shared" si="3"/>
        <v/>
      </c>
      <c r="W57" s="4" t="str">
        <f>IF(V57="","",IFERROR(IF(AND(ISNUMBER('Scoring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Methodology'!$F$18,1)=0),IF(ISNUMBER(V57),IF(V57&lt;'Scoring Methodology'!$F$16,"Low",IF(V57&lt;'Scoring Methodology'!$F$17,"Moderate",IF(V57&lt;'Scoring Methodology'!$F$18,"High","Critical"))),"Invalid input"),"Invalid thresholds"),"Invalid thresholds"))</f>
        <v/>
      </c>
      <c r="X57" s="3"/>
      <c r="Y57" s="4">
        <f>IF(E57="",0,IF(AND(OR(Dashboard!$L$7="All",Q57=Dashboard!$L$7),OR(Dashboard!$T$7="All",N57=Dashboard!$T$7)),1,0))</f>
        <v>0</v>
      </c>
    </row>
    <row r="58" spans="1:25" ht="26.1" customHeight="1">
      <c r="A58" s="18"/>
      <c r="B58" s="18"/>
      <c r="C58" s="18"/>
      <c r="D58" s="18"/>
      <c r="E58" s="3"/>
      <c r="F58" s="3"/>
      <c r="G58" s="3"/>
      <c r="H58" s="3"/>
      <c r="I58" s="3"/>
      <c r="J58" s="3"/>
      <c r="K58" s="3"/>
      <c r="L58" s="3"/>
      <c r="M58" s="4" t="str">
        <f t="shared" si="2"/>
        <v/>
      </c>
      <c r="N58" s="4" t="str">
        <f>IF(M58="","",IFERROR(IF(AND(ISNUMBER('Scoring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Methodology'!$F$18,1)=0),IF(ISNUMBER(M58),IF(M58&lt;'Scoring Methodology'!$F$16,"Low",IF(M58&lt;'Scoring Methodology'!$F$17,"Moderate",IF(M58&lt;'Scoring Methodology'!$F$18,"High","Critical"))),"Invalid input"),"Invalid thresholds"),"Invalid thresholds"))</f>
        <v/>
      </c>
      <c r="O58" s="3"/>
      <c r="P58" s="3"/>
      <c r="Q58" s="3"/>
      <c r="R58" s="3"/>
      <c r="S58" s="3"/>
      <c r="T58" s="3"/>
      <c r="U58" s="3"/>
      <c r="V58" s="4" t="str">
        <f t="shared" si="3"/>
        <v/>
      </c>
      <c r="W58" s="4" t="str">
        <f>IF(V58="","",IFERROR(IF(AND(ISNUMBER('Scoring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Methodology'!$F$18,1)=0),IF(ISNUMBER(V58),IF(V58&lt;'Scoring Methodology'!$F$16,"Low",IF(V58&lt;'Scoring Methodology'!$F$17,"Moderate",IF(V58&lt;'Scoring Methodology'!$F$18,"High","Critical"))),"Invalid input"),"Invalid thresholds"),"Invalid thresholds"))</f>
        <v/>
      </c>
      <c r="X58" s="3"/>
      <c r="Y58" s="4">
        <f>IF(E58="",0,IF(AND(OR(Dashboard!$L$7="All",Q58=Dashboard!$L$7),OR(Dashboard!$T$7="All",N58=Dashboard!$T$7)),1,0))</f>
        <v>0</v>
      </c>
    </row>
    <row r="59" spans="1:25" ht="26.1" customHeight="1">
      <c r="A59" s="18"/>
      <c r="B59" s="18"/>
      <c r="C59" s="18"/>
      <c r="D59" s="18"/>
      <c r="E59" s="3"/>
      <c r="F59" s="3"/>
      <c r="G59" s="3"/>
      <c r="H59" s="3"/>
      <c r="I59" s="3"/>
      <c r="J59" s="3"/>
      <c r="K59" s="3"/>
      <c r="L59" s="3"/>
      <c r="M59" s="4" t="str">
        <f t="shared" si="2"/>
        <v/>
      </c>
      <c r="N59" s="4" t="str">
        <f>IF(M59="","",IFERROR(IF(AND(ISNUMBER('Scoring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Methodology'!$F$18,1)=0),IF(ISNUMBER(M59),IF(M59&lt;'Scoring Methodology'!$F$16,"Low",IF(M59&lt;'Scoring Methodology'!$F$17,"Moderate",IF(M59&lt;'Scoring Methodology'!$F$18,"High","Critical"))),"Invalid input"),"Invalid thresholds"),"Invalid thresholds"))</f>
        <v/>
      </c>
      <c r="O59" s="3"/>
      <c r="P59" s="3"/>
      <c r="Q59" s="3"/>
      <c r="R59" s="3"/>
      <c r="S59" s="3"/>
      <c r="T59" s="3"/>
      <c r="U59" s="3"/>
      <c r="V59" s="4" t="str">
        <f t="shared" si="3"/>
        <v/>
      </c>
      <c r="W59" s="4" t="str">
        <f>IF(V59="","",IFERROR(IF(AND(ISNUMBER('Scoring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Methodology'!$F$18,1)=0),IF(ISNUMBER(V59),IF(V59&lt;'Scoring Methodology'!$F$16,"Low",IF(V59&lt;'Scoring Methodology'!$F$17,"Moderate",IF(V59&lt;'Scoring Methodology'!$F$18,"High","Critical"))),"Invalid input"),"Invalid thresholds"),"Invalid thresholds"))</f>
        <v/>
      </c>
      <c r="X59" s="3"/>
      <c r="Y59" s="4">
        <f>IF(E59="",0,IF(AND(OR(Dashboard!$L$7="All",Q59=Dashboard!$L$7),OR(Dashboard!$T$7="All",N59=Dashboard!$T$7)),1,0))</f>
        <v>0</v>
      </c>
    </row>
    <row r="60" spans="1:25" ht="26.1" customHeight="1">
      <c r="A60" s="18"/>
      <c r="B60" s="18"/>
      <c r="C60" s="18"/>
      <c r="D60" s="18"/>
      <c r="E60" s="3"/>
      <c r="F60" s="3"/>
      <c r="G60" s="3"/>
      <c r="H60" s="3"/>
      <c r="I60" s="3"/>
      <c r="J60" s="3"/>
      <c r="K60" s="3"/>
      <c r="L60" s="3"/>
      <c r="M60" s="4" t="str">
        <f t="shared" si="2"/>
        <v/>
      </c>
      <c r="N60" s="4" t="str">
        <f>IF(M60="","",IFERROR(IF(AND(ISNUMBER('Scoring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Methodology'!$F$18,1)=0),IF(ISNUMBER(M60),IF(M60&lt;'Scoring Methodology'!$F$16,"Low",IF(M60&lt;'Scoring Methodology'!$F$17,"Moderate",IF(M60&lt;'Scoring Methodology'!$F$18,"High","Critical"))),"Invalid input"),"Invalid thresholds"),"Invalid thresholds"))</f>
        <v/>
      </c>
      <c r="O60" s="3"/>
      <c r="P60" s="3"/>
      <c r="Q60" s="3"/>
      <c r="R60" s="3"/>
      <c r="S60" s="3"/>
      <c r="T60" s="3"/>
      <c r="U60" s="3"/>
      <c r="V60" s="4" t="str">
        <f t="shared" si="3"/>
        <v/>
      </c>
      <c r="W60" s="4" t="str">
        <f>IF(V60="","",IFERROR(IF(AND(ISNUMBER('Scoring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Methodology'!$F$18,1)=0),IF(ISNUMBER(V60),IF(V60&lt;'Scoring Methodology'!$F$16,"Low",IF(V60&lt;'Scoring Methodology'!$F$17,"Moderate",IF(V60&lt;'Scoring Methodology'!$F$18,"High","Critical"))),"Invalid input"),"Invalid thresholds"),"Invalid thresholds"))</f>
        <v/>
      </c>
      <c r="X60" s="3"/>
      <c r="Y60" s="4">
        <f>IF(E60="",0,IF(AND(OR(Dashboard!$L$7="All",Q60=Dashboard!$L$7),OR(Dashboard!$T$7="All",N60=Dashboard!$T$7)),1,0))</f>
        <v>0</v>
      </c>
    </row>
    <row r="61" spans="1:25" ht="26.1" customHeight="1">
      <c r="A61" s="18"/>
      <c r="B61" s="18"/>
      <c r="C61" s="18"/>
      <c r="D61" s="18"/>
      <c r="E61" s="3"/>
      <c r="F61" s="3"/>
      <c r="G61" s="3"/>
      <c r="H61" s="3"/>
      <c r="I61" s="3"/>
      <c r="J61" s="3"/>
      <c r="K61" s="3"/>
      <c r="L61" s="3"/>
      <c r="M61" s="4" t="str">
        <f t="shared" si="2"/>
        <v/>
      </c>
      <c r="N61" s="4" t="str">
        <f>IF(M61="","",IFERROR(IF(AND(ISNUMBER('Scoring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Methodology'!$F$18,1)=0),IF(ISNUMBER(M61),IF(M61&lt;'Scoring Methodology'!$F$16,"Low",IF(M61&lt;'Scoring Methodology'!$F$17,"Moderate",IF(M61&lt;'Scoring Methodology'!$F$18,"High","Critical"))),"Invalid input"),"Invalid thresholds"),"Invalid thresholds"))</f>
        <v/>
      </c>
      <c r="O61" s="3"/>
      <c r="P61" s="3"/>
      <c r="Q61" s="3"/>
      <c r="R61" s="3"/>
      <c r="S61" s="3"/>
      <c r="T61" s="3"/>
      <c r="U61" s="3"/>
      <c r="V61" s="4" t="str">
        <f t="shared" si="3"/>
        <v/>
      </c>
      <c r="W61" s="4" t="str">
        <f>IF(V61="","",IFERROR(IF(AND(ISNUMBER('Scoring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Methodology'!$F$18,1)=0),IF(ISNUMBER(V61),IF(V61&lt;'Scoring Methodology'!$F$16,"Low",IF(V61&lt;'Scoring Methodology'!$F$17,"Moderate",IF(V61&lt;'Scoring Methodology'!$F$18,"High","Critical"))),"Invalid input"),"Invalid thresholds"),"Invalid thresholds"))</f>
        <v/>
      </c>
      <c r="X61" s="3"/>
      <c r="Y61" s="4">
        <f>IF(E61="",0,IF(AND(OR(Dashboard!$L$7="All",Q61=Dashboard!$L$7),OR(Dashboard!$T$7="All",N61=Dashboard!$T$7)),1,0))</f>
        <v>0</v>
      </c>
    </row>
    <row r="62" spans="1:25" ht="26.1" customHeight="1">
      <c r="A62" s="18"/>
      <c r="B62" s="18"/>
      <c r="C62" s="18"/>
      <c r="D62" s="18"/>
      <c r="E62" s="3"/>
      <c r="F62" s="3"/>
      <c r="G62" s="3"/>
      <c r="H62" s="3"/>
      <c r="I62" s="3"/>
      <c r="J62" s="3"/>
      <c r="K62" s="3"/>
      <c r="L62" s="3"/>
      <c r="M62" s="4" t="str">
        <f t="shared" si="2"/>
        <v/>
      </c>
      <c r="N62" s="4" t="str">
        <f>IF(M62="","",IFERROR(IF(AND(ISNUMBER('Scoring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Methodology'!$F$18,1)=0),IF(ISNUMBER(M62),IF(M62&lt;'Scoring Methodology'!$F$16,"Low",IF(M62&lt;'Scoring Methodology'!$F$17,"Moderate",IF(M62&lt;'Scoring Methodology'!$F$18,"High","Critical"))),"Invalid input"),"Invalid thresholds"),"Invalid thresholds"))</f>
        <v/>
      </c>
      <c r="O62" s="3"/>
      <c r="P62" s="3"/>
      <c r="Q62" s="3"/>
      <c r="R62" s="3"/>
      <c r="S62" s="3"/>
      <c r="T62" s="3"/>
      <c r="U62" s="3"/>
      <c r="V62" s="4" t="str">
        <f t="shared" si="3"/>
        <v/>
      </c>
      <c r="W62" s="4" t="str">
        <f>IF(V62="","",IFERROR(IF(AND(ISNUMBER('Scoring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Methodology'!$F$18,1)=0),IF(ISNUMBER(V62),IF(V62&lt;'Scoring Methodology'!$F$16,"Low",IF(V62&lt;'Scoring Methodology'!$F$17,"Moderate",IF(V62&lt;'Scoring Methodology'!$F$18,"High","Critical"))),"Invalid input"),"Invalid thresholds"),"Invalid thresholds"))</f>
        <v/>
      </c>
      <c r="X62" s="3"/>
      <c r="Y62" s="4">
        <f>IF(E62="",0,IF(AND(OR(Dashboard!$L$7="All",Q62=Dashboard!$L$7),OR(Dashboard!$T$7="All",N62=Dashboard!$T$7)),1,0))</f>
        <v>0</v>
      </c>
    </row>
    <row r="63" spans="1:25" ht="26.1" customHeight="1">
      <c r="A63" s="18"/>
      <c r="B63" s="18"/>
      <c r="C63" s="18"/>
      <c r="D63" s="18"/>
      <c r="E63" s="3"/>
      <c r="F63" s="3"/>
      <c r="G63" s="3"/>
      <c r="H63" s="3"/>
      <c r="I63" s="3"/>
      <c r="J63" s="3"/>
      <c r="K63" s="3"/>
      <c r="L63" s="3"/>
      <c r="M63" s="4" t="str">
        <f t="shared" si="2"/>
        <v/>
      </c>
      <c r="N63" s="4" t="str">
        <f>IF(M63="","",IFERROR(IF(AND(ISNUMBER('Scoring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Methodology'!$F$18,1)=0),IF(ISNUMBER(M63),IF(M63&lt;'Scoring Methodology'!$F$16,"Low",IF(M63&lt;'Scoring Methodology'!$F$17,"Moderate",IF(M63&lt;'Scoring Methodology'!$F$18,"High","Critical"))),"Invalid input"),"Invalid thresholds"),"Invalid thresholds"))</f>
        <v/>
      </c>
      <c r="O63" s="3"/>
      <c r="P63" s="3"/>
      <c r="Q63" s="3"/>
      <c r="R63" s="3"/>
      <c r="S63" s="3"/>
      <c r="T63" s="3"/>
      <c r="U63" s="3"/>
      <c r="V63" s="4" t="str">
        <f t="shared" si="3"/>
        <v/>
      </c>
      <c r="W63" s="4" t="str">
        <f>IF(V63="","",IFERROR(IF(AND(ISNUMBER('Scoring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Methodology'!$F$18,1)=0),IF(ISNUMBER(V63),IF(V63&lt;'Scoring Methodology'!$F$16,"Low",IF(V63&lt;'Scoring Methodology'!$F$17,"Moderate",IF(V63&lt;'Scoring Methodology'!$F$18,"High","Critical"))),"Invalid input"),"Invalid thresholds"),"Invalid thresholds"))</f>
        <v/>
      </c>
      <c r="X63" s="3"/>
      <c r="Y63" s="4">
        <f>IF(E63="",0,IF(AND(OR(Dashboard!$L$7="All",Q63=Dashboard!$L$7),OR(Dashboard!$T$7="All",N63=Dashboard!$T$7)),1,0))</f>
        <v>0</v>
      </c>
    </row>
    <row r="64" spans="1:25" ht="26.1" customHeight="1">
      <c r="A64" s="18"/>
      <c r="B64" s="18"/>
      <c r="C64" s="18"/>
      <c r="D64" s="18"/>
      <c r="E64" s="3"/>
      <c r="F64" s="3"/>
      <c r="G64" s="3"/>
      <c r="H64" s="3"/>
      <c r="I64" s="3"/>
      <c r="J64" s="3"/>
      <c r="K64" s="3"/>
      <c r="L64" s="3"/>
      <c r="M64" s="4" t="str">
        <f t="shared" si="2"/>
        <v/>
      </c>
      <c r="N64" s="4" t="str">
        <f>IF(M64="","",IFERROR(IF(AND(ISNUMBER('Scoring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Methodology'!$F$18,1)=0),IF(ISNUMBER(M64),IF(M64&lt;'Scoring Methodology'!$F$16,"Low",IF(M64&lt;'Scoring Methodology'!$F$17,"Moderate",IF(M64&lt;'Scoring Methodology'!$F$18,"High","Critical"))),"Invalid input"),"Invalid thresholds"),"Invalid thresholds"))</f>
        <v/>
      </c>
      <c r="O64" s="3"/>
      <c r="P64" s="3"/>
      <c r="Q64" s="3"/>
      <c r="R64" s="3"/>
      <c r="S64" s="3"/>
      <c r="T64" s="3"/>
      <c r="U64" s="3"/>
      <c r="V64" s="4" t="str">
        <f t="shared" si="3"/>
        <v/>
      </c>
      <c r="W64" s="4" t="str">
        <f>IF(V64="","",IFERROR(IF(AND(ISNUMBER('Scoring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Methodology'!$F$18,1)=0),IF(ISNUMBER(V64),IF(V64&lt;'Scoring Methodology'!$F$16,"Low",IF(V64&lt;'Scoring Methodology'!$F$17,"Moderate",IF(V64&lt;'Scoring Methodology'!$F$18,"High","Critical"))),"Invalid input"),"Invalid thresholds"),"Invalid thresholds"))</f>
        <v/>
      </c>
      <c r="X64" s="3"/>
      <c r="Y64" s="4">
        <f>IF(E64="",0,IF(AND(OR(Dashboard!$L$7="All",Q64=Dashboard!$L$7),OR(Dashboard!$T$7="All",N64=Dashboard!$T$7)),1,0))</f>
        <v>0</v>
      </c>
    </row>
    <row r="65" spans="1:25" ht="26.1" customHeight="1">
      <c r="A65" s="18"/>
      <c r="B65" s="18"/>
      <c r="C65" s="18"/>
      <c r="D65" s="18"/>
      <c r="E65" s="3"/>
      <c r="F65" s="3"/>
      <c r="G65" s="3"/>
      <c r="H65" s="3"/>
      <c r="I65" s="3"/>
      <c r="J65" s="3"/>
      <c r="K65" s="3"/>
      <c r="L65" s="3"/>
      <c r="M65" s="4" t="str">
        <f t="shared" si="2"/>
        <v/>
      </c>
      <c r="N65" s="4" t="str">
        <f>IF(M65="","",IFERROR(IF(AND(ISNUMBER('Scoring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Methodology'!$F$18,1)=0),IF(ISNUMBER(M65),IF(M65&lt;'Scoring Methodology'!$F$16,"Low",IF(M65&lt;'Scoring Methodology'!$F$17,"Moderate",IF(M65&lt;'Scoring Methodology'!$F$18,"High","Critical"))),"Invalid input"),"Invalid thresholds"),"Invalid thresholds"))</f>
        <v/>
      </c>
      <c r="O65" s="3"/>
      <c r="P65" s="3"/>
      <c r="Q65" s="3"/>
      <c r="R65" s="3"/>
      <c r="S65" s="3"/>
      <c r="T65" s="3"/>
      <c r="U65" s="3"/>
      <c r="V65" s="4" t="str">
        <f t="shared" si="3"/>
        <v/>
      </c>
      <c r="W65" s="4" t="str">
        <f>IF(V65="","",IFERROR(IF(AND(ISNUMBER('Scoring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Methodology'!$F$18,1)=0),IF(ISNUMBER(V65),IF(V65&lt;'Scoring Methodology'!$F$16,"Low",IF(V65&lt;'Scoring Methodology'!$F$17,"Moderate",IF(V65&lt;'Scoring Methodology'!$F$18,"High","Critical"))),"Invalid input"),"Invalid thresholds"),"Invalid thresholds"))</f>
        <v/>
      </c>
      <c r="X65" s="3"/>
      <c r="Y65" s="4">
        <f>IF(E65="",0,IF(AND(OR(Dashboard!$L$7="All",Q65=Dashboard!$L$7),OR(Dashboard!$T$7="All",N65=Dashboard!$T$7)),1,0))</f>
        <v>0</v>
      </c>
    </row>
    <row r="66" spans="1:25" ht="26.1" customHeight="1">
      <c r="A66" s="18"/>
      <c r="B66" s="18"/>
      <c r="C66" s="18"/>
      <c r="D66" s="18"/>
      <c r="E66" s="3"/>
      <c r="F66" s="3"/>
      <c r="G66" s="3"/>
      <c r="H66" s="3"/>
      <c r="I66" s="3"/>
      <c r="J66" s="3"/>
      <c r="K66" s="3"/>
      <c r="L66" s="3"/>
      <c r="M66" s="4" t="str">
        <f t="shared" si="2"/>
        <v/>
      </c>
      <c r="N66" s="4" t="str">
        <f>IF(M66="","",IFERROR(IF(AND(ISNUMBER('Scoring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Methodology'!$F$18,1)=0),IF(ISNUMBER(M66),IF(M66&lt;'Scoring Methodology'!$F$16,"Low",IF(M66&lt;'Scoring Methodology'!$F$17,"Moderate",IF(M66&lt;'Scoring Methodology'!$F$18,"High","Critical"))),"Invalid input"),"Invalid thresholds"),"Invalid thresholds"))</f>
        <v/>
      </c>
      <c r="O66" s="3"/>
      <c r="P66" s="3"/>
      <c r="Q66" s="3"/>
      <c r="R66" s="3"/>
      <c r="S66" s="3"/>
      <c r="T66" s="3"/>
      <c r="U66" s="3"/>
      <c r="V66" s="4" t="str">
        <f t="shared" si="3"/>
        <v/>
      </c>
      <c r="W66" s="4" t="str">
        <f>IF(V66="","",IFERROR(IF(AND(ISNUMBER('Scoring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Methodology'!$F$18,1)=0),IF(ISNUMBER(V66),IF(V66&lt;'Scoring Methodology'!$F$16,"Low",IF(V66&lt;'Scoring Methodology'!$F$17,"Moderate",IF(V66&lt;'Scoring Methodology'!$F$18,"High","Critical"))),"Invalid input"),"Invalid thresholds"),"Invalid thresholds"))</f>
        <v/>
      </c>
      <c r="X66" s="3"/>
      <c r="Y66" s="4">
        <f>IF(E66="",0,IF(AND(OR(Dashboard!$L$7="All",Q66=Dashboard!$L$7),OR(Dashboard!$T$7="All",N66=Dashboard!$T$7)),1,0))</f>
        <v>0</v>
      </c>
    </row>
    <row r="67" spans="1:25" ht="26.1" customHeight="1">
      <c r="A67" s="18"/>
      <c r="B67" s="18"/>
      <c r="C67" s="18"/>
      <c r="D67" s="18"/>
      <c r="E67" s="3"/>
      <c r="F67" s="3"/>
      <c r="G67" s="3"/>
      <c r="H67" s="3"/>
      <c r="I67" s="3"/>
      <c r="J67" s="3"/>
      <c r="K67" s="3"/>
      <c r="L67" s="3"/>
      <c r="M67" s="4" t="str">
        <f t="shared" si="2"/>
        <v/>
      </c>
      <c r="N67" s="4" t="str">
        <f>IF(M67="","",IFERROR(IF(AND(ISNUMBER('Scoring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Methodology'!$F$18,1)=0),IF(ISNUMBER(M67),IF(M67&lt;'Scoring Methodology'!$F$16,"Low",IF(M67&lt;'Scoring Methodology'!$F$17,"Moderate",IF(M67&lt;'Scoring Methodology'!$F$18,"High","Critical"))),"Invalid input"),"Invalid thresholds"),"Invalid thresholds"))</f>
        <v/>
      </c>
      <c r="O67" s="3"/>
      <c r="P67" s="3"/>
      <c r="Q67" s="3"/>
      <c r="R67" s="3"/>
      <c r="S67" s="3"/>
      <c r="T67" s="3"/>
      <c r="U67" s="3"/>
      <c r="V67" s="4" t="str">
        <f t="shared" si="3"/>
        <v/>
      </c>
      <c r="W67" s="4" t="str">
        <f>IF(V67="","",IFERROR(IF(AND(ISNUMBER('Scoring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Methodology'!$F$18,1)=0),IF(ISNUMBER(V67),IF(V67&lt;'Scoring Methodology'!$F$16,"Low",IF(V67&lt;'Scoring Methodology'!$F$17,"Moderate",IF(V67&lt;'Scoring Methodology'!$F$18,"High","Critical"))),"Invalid input"),"Invalid thresholds"),"Invalid thresholds"))</f>
        <v/>
      </c>
      <c r="X67" s="3"/>
      <c r="Y67" s="4">
        <f>IF(E67="",0,IF(AND(OR(Dashboard!$L$7="All",Q67=Dashboard!$L$7),OR(Dashboard!$T$7="All",N67=Dashboard!$T$7)),1,0))</f>
        <v>0</v>
      </c>
    </row>
    <row r="68" spans="1:25" ht="26.1" customHeight="1">
      <c r="A68" s="18"/>
      <c r="B68" s="18"/>
      <c r="C68" s="18"/>
      <c r="D68" s="18"/>
      <c r="E68" s="3"/>
      <c r="F68" s="3"/>
      <c r="G68" s="3"/>
      <c r="H68" s="3"/>
      <c r="I68" s="3"/>
      <c r="J68" s="3"/>
      <c r="K68" s="3"/>
      <c r="L68" s="3"/>
      <c r="M68" s="4" t="str">
        <f t="shared" si="2"/>
        <v/>
      </c>
      <c r="N68" s="4" t="str">
        <f>IF(M68="","",IFERROR(IF(AND(ISNUMBER('Scoring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Methodology'!$F$18,1)=0),IF(ISNUMBER(M68),IF(M68&lt;'Scoring Methodology'!$F$16,"Low",IF(M68&lt;'Scoring Methodology'!$F$17,"Moderate",IF(M68&lt;'Scoring Methodology'!$F$18,"High","Critical"))),"Invalid input"),"Invalid thresholds"),"Invalid thresholds"))</f>
        <v/>
      </c>
      <c r="O68" s="3"/>
      <c r="P68" s="3"/>
      <c r="Q68" s="3"/>
      <c r="R68" s="3"/>
      <c r="S68" s="3"/>
      <c r="T68" s="3"/>
      <c r="U68" s="3"/>
      <c r="V68" s="4" t="str">
        <f t="shared" si="3"/>
        <v/>
      </c>
      <c r="W68" s="4" t="str">
        <f>IF(V68="","",IFERROR(IF(AND(ISNUMBER('Scoring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Methodology'!$F$18,1)=0),IF(ISNUMBER(V68),IF(V68&lt;'Scoring Methodology'!$F$16,"Low",IF(V68&lt;'Scoring Methodology'!$F$17,"Moderate",IF(V68&lt;'Scoring Methodology'!$F$18,"High","Critical"))),"Invalid input"),"Invalid thresholds"),"Invalid thresholds"))</f>
        <v/>
      </c>
      <c r="X68" s="3"/>
      <c r="Y68" s="4">
        <f>IF(E68="",0,IF(AND(OR(Dashboard!$L$7="All",Q68=Dashboard!$L$7),OR(Dashboard!$T$7="All",N68=Dashboard!$T$7)),1,0))</f>
        <v>0</v>
      </c>
    </row>
    <row r="69" spans="1:25" ht="26.1" customHeight="1">
      <c r="A69" s="18"/>
      <c r="B69" s="18"/>
      <c r="C69" s="18"/>
      <c r="D69" s="18"/>
      <c r="E69" s="3"/>
      <c r="F69" s="3"/>
      <c r="G69" s="3"/>
      <c r="H69" s="3"/>
      <c r="I69" s="3"/>
      <c r="J69" s="3"/>
      <c r="K69" s="3"/>
      <c r="L69" s="3"/>
      <c r="M69" s="4" t="str">
        <f t="shared" si="2"/>
        <v/>
      </c>
      <c r="N69" s="4" t="str">
        <f>IF(M69="","",IFERROR(IF(AND(ISNUMBER('Scoring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Methodology'!$F$18,1)=0),IF(ISNUMBER(M69),IF(M69&lt;'Scoring Methodology'!$F$16,"Low",IF(M69&lt;'Scoring Methodology'!$F$17,"Moderate",IF(M69&lt;'Scoring Methodology'!$F$18,"High","Critical"))),"Invalid input"),"Invalid thresholds"),"Invalid thresholds"))</f>
        <v/>
      </c>
      <c r="O69" s="3"/>
      <c r="P69" s="3"/>
      <c r="Q69" s="3"/>
      <c r="R69" s="3"/>
      <c r="S69" s="3"/>
      <c r="T69" s="3"/>
      <c r="U69" s="3"/>
      <c r="V69" s="4" t="str">
        <f t="shared" si="3"/>
        <v/>
      </c>
      <c r="W69" s="4" t="str">
        <f>IF(V69="","",IFERROR(IF(AND(ISNUMBER('Scoring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Methodology'!$F$18,1)=0),IF(ISNUMBER(V69),IF(V69&lt;'Scoring Methodology'!$F$16,"Low",IF(V69&lt;'Scoring Methodology'!$F$17,"Moderate",IF(V69&lt;'Scoring Methodology'!$F$18,"High","Critical"))),"Invalid input"),"Invalid thresholds"),"Invalid thresholds"))</f>
        <v/>
      </c>
      <c r="X69" s="3"/>
      <c r="Y69" s="4">
        <f>IF(E69="",0,IF(AND(OR(Dashboard!$L$7="All",Q69=Dashboard!$L$7),OR(Dashboard!$T$7="All",N69=Dashboard!$T$7)),1,0))</f>
        <v>0</v>
      </c>
    </row>
    <row r="70" spans="1:25" ht="26.1" customHeight="1">
      <c r="A70" s="18"/>
      <c r="B70" s="18"/>
      <c r="C70" s="18"/>
      <c r="D70" s="18"/>
      <c r="E70" s="3"/>
      <c r="F70" s="3"/>
      <c r="G70" s="3"/>
      <c r="H70" s="3"/>
      <c r="I70" s="3"/>
      <c r="J70" s="3"/>
      <c r="K70" s="3"/>
      <c r="L70" s="3"/>
      <c r="M70" s="4" t="str">
        <f t="shared" si="2"/>
        <v/>
      </c>
      <c r="N70" s="4" t="str">
        <f>IF(M70="","",IFERROR(IF(AND(ISNUMBER('Scoring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Methodology'!$F$18,1)=0),IF(ISNUMBER(M70),IF(M70&lt;'Scoring Methodology'!$F$16,"Low",IF(M70&lt;'Scoring Methodology'!$F$17,"Moderate",IF(M70&lt;'Scoring Methodology'!$F$18,"High","Critical"))),"Invalid input"),"Invalid thresholds"),"Invalid thresholds"))</f>
        <v/>
      </c>
      <c r="O70" s="3"/>
      <c r="P70" s="3"/>
      <c r="Q70" s="3"/>
      <c r="R70" s="3"/>
      <c r="S70" s="3"/>
      <c r="T70" s="3"/>
      <c r="U70" s="3"/>
      <c r="V70" s="4" t="str">
        <f t="shared" si="3"/>
        <v/>
      </c>
      <c r="W70" s="4" t="str">
        <f>IF(V70="","",IFERROR(IF(AND(ISNUMBER('Scoring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Methodology'!$F$18,1)=0),IF(ISNUMBER(V70),IF(V70&lt;'Scoring Methodology'!$F$16,"Low",IF(V70&lt;'Scoring Methodology'!$F$17,"Moderate",IF(V70&lt;'Scoring Methodology'!$F$18,"High","Critical"))),"Invalid input"),"Invalid thresholds"),"Invalid thresholds"))</f>
        <v/>
      </c>
      <c r="X70" s="3"/>
      <c r="Y70" s="4">
        <f>IF(E70="",0,IF(AND(OR(Dashboard!$L$7="All",Q70=Dashboard!$L$7),OR(Dashboard!$T$7="All",N70=Dashboard!$T$7)),1,0))</f>
        <v>0</v>
      </c>
    </row>
    <row r="71" spans="1:25" ht="26.1" customHeight="1">
      <c r="A71" s="18"/>
      <c r="B71" s="18"/>
      <c r="C71" s="18"/>
      <c r="D71" s="18"/>
      <c r="E71" s="3"/>
      <c r="F71" s="3"/>
      <c r="G71" s="3"/>
      <c r="H71" s="3"/>
      <c r="I71" s="3"/>
      <c r="J71" s="3"/>
      <c r="K71" s="3"/>
      <c r="L71" s="3"/>
      <c r="M71" s="4" t="str">
        <f t="shared" ref="M71:M102" si="4">IF(E71="","",IF(OR(K71="",L71=""),"",IF(AND(ISNUMBER(K71),ISNUMBER(L71),K71&gt;=1,K71&lt;=5,L71&gt;=1,L71&lt;=5,MOD(K71,1)=0,MOD(L71,1)=0),K71*L71,"Invalid input")))</f>
        <v/>
      </c>
      <c r="N71" s="4" t="str">
        <f>IF(M71="","",IFERROR(IF(AND(ISNUMBER('Scoring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Methodology'!$F$18,1)=0),IF(ISNUMBER(M71),IF(M71&lt;'Scoring Methodology'!$F$16,"Low",IF(M71&lt;'Scoring Methodology'!$F$17,"Moderate",IF(M71&lt;'Scoring Methodology'!$F$18,"High","Critical"))),"Invalid input"),"Invalid thresholds"),"Invalid thresholds"))</f>
        <v/>
      </c>
      <c r="O71" s="3"/>
      <c r="P71" s="3"/>
      <c r="Q71" s="3"/>
      <c r="R71" s="3"/>
      <c r="S71" s="3"/>
      <c r="T71" s="3"/>
      <c r="U71" s="3"/>
      <c r="V71" s="4" t="str">
        <f t="shared" ref="V71:V102" si="5">IF(E71="","",IF(OR(T71="",U71=""),"",IF(AND(ISNUMBER(T71),ISNUMBER(U71),T71&gt;=1,T71&lt;=5,U71&gt;=1,U71&lt;=5,MOD(T71,1)=0,MOD(U71,1)=0),T71*U71,"Invalid input")))</f>
        <v/>
      </c>
      <c r="W71" s="4" t="str">
        <f>IF(V71="","",IFERROR(IF(AND(ISNUMBER('Scoring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Methodology'!$F$18,1)=0),IF(ISNUMBER(V71),IF(V71&lt;'Scoring Methodology'!$F$16,"Low",IF(V71&lt;'Scoring Methodology'!$F$17,"Moderate",IF(V71&lt;'Scoring Methodology'!$F$18,"High","Critical"))),"Invalid input"),"Invalid thresholds"),"Invalid thresholds"))</f>
        <v/>
      </c>
      <c r="X71" s="3"/>
      <c r="Y71" s="4">
        <f>IF(E71="",0,IF(AND(OR(Dashboard!$L$7="All",Q71=Dashboard!$L$7),OR(Dashboard!$T$7="All",N71=Dashboard!$T$7)),1,0))</f>
        <v>0</v>
      </c>
    </row>
    <row r="72" spans="1:25" ht="26.1" customHeight="1">
      <c r="A72" s="18"/>
      <c r="B72" s="18"/>
      <c r="C72" s="18"/>
      <c r="D72" s="18"/>
      <c r="E72" s="3"/>
      <c r="F72" s="3"/>
      <c r="G72" s="3"/>
      <c r="H72" s="3"/>
      <c r="I72" s="3"/>
      <c r="J72" s="3"/>
      <c r="K72" s="3"/>
      <c r="L72" s="3"/>
      <c r="M72" s="4" t="str">
        <f t="shared" si="4"/>
        <v/>
      </c>
      <c r="N72" s="4" t="str">
        <f>IF(M72="","",IFERROR(IF(AND(ISNUMBER('Scoring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Methodology'!$F$18,1)=0),IF(ISNUMBER(M72),IF(M72&lt;'Scoring Methodology'!$F$16,"Low",IF(M72&lt;'Scoring Methodology'!$F$17,"Moderate",IF(M72&lt;'Scoring Methodology'!$F$18,"High","Critical"))),"Invalid input"),"Invalid thresholds"),"Invalid thresholds"))</f>
        <v/>
      </c>
      <c r="O72" s="3"/>
      <c r="P72" s="3"/>
      <c r="Q72" s="3"/>
      <c r="R72" s="3"/>
      <c r="S72" s="3"/>
      <c r="T72" s="3"/>
      <c r="U72" s="3"/>
      <c r="V72" s="4" t="str">
        <f t="shared" si="5"/>
        <v/>
      </c>
      <c r="W72" s="4" t="str">
        <f>IF(V72="","",IFERROR(IF(AND(ISNUMBER('Scoring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Methodology'!$F$18,1)=0),IF(ISNUMBER(V72),IF(V72&lt;'Scoring Methodology'!$F$16,"Low",IF(V72&lt;'Scoring Methodology'!$F$17,"Moderate",IF(V72&lt;'Scoring Methodology'!$F$18,"High","Critical"))),"Invalid input"),"Invalid thresholds"),"Invalid thresholds"))</f>
        <v/>
      </c>
      <c r="X72" s="3"/>
      <c r="Y72" s="4">
        <f>IF(E72="",0,IF(AND(OR(Dashboard!$L$7="All",Q72=Dashboard!$L$7),OR(Dashboard!$T$7="All",N72=Dashboard!$T$7)),1,0))</f>
        <v>0</v>
      </c>
    </row>
    <row r="73" spans="1:25" ht="26.1" customHeight="1">
      <c r="A73" s="18"/>
      <c r="B73" s="18"/>
      <c r="C73" s="18"/>
      <c r="D73" s="18"/>
      <c r="E73" s="3"/>
      <c r="F73" s="3"/>
      <c r="G73" s="3"/>
      <c r="H73" s="3"/>
      <c r="I73" s="3"/>
      <c r="J73" s="3"/>
      <c r="K73" s="3"/>
      <c r="L73" s="3"/>
      <c r="M73" s="4" t="str">
        <f t="shared" si="4"/>
        <v/>
      </c>
      <c r="N73" s="4" t="str">
        <f>IF(M73="","",IFERROR(IF(AND(ISNUMBER('Scoring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Methodology'!$F$18,1)=0),IF(ISNUMBER(M73),IF(M73&lt;'Scoring Methodology'!$F$16,"Low",IF(M73&lt;'Scoring Methodology'!$F$17,"Moderate",IF(M73&lt;'Scoring Methodology'!$F$18,"High","Critical"))),"Invalid input"),"Invalid thresholds"),"Invalid thresholds"))</f>
        <v/>
      </c>
      <c r="O73" s="3"/>
      <c r="P73" s="3"/>
      <c r="Q73" s="3"/>
      <c r="R73" s="3"/>
      <c r="S73" s="3"/>
      <c r="T73" s="3"/>
      <c r="U73" s="3"/>
      <c r="V73" s="4" t="str">
        <f t="shared" si="5"/>
        <v/>
      </c>
      <c r="W73" s="4" t="str">
        <f>IF(V73="","",IFERROR(IF(AND(ISNUMBER('Scoring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Methodology'!$F$18,1)=0),IF(ISNUMBER(V73),IF(V73&lt;'Scoring Methodology'!$F$16,"Low",IF(V73&lt;'Scoring Methodology'!$F$17,"Moderate",IF(V73&lt;'Scoring Methodology'!$F$18,"High","Critical"))),"Invalid input"),"Invalid thresholds"),"Invalid thresholds"))</f>
        <v/>
      </c>
      <c r="X73" s="3"/>
      <c r="Y73" s="4">
        <f>IF(E73="",0,IF(AND(OR(Dashboard!$L$7="All",Q73=Dashboard!$L$7),OR(Dashboard!$T$7="All",N73=Dashboard!$T$7)),1,0))</f>
        <v>0</v>
      </c>
    </row>
    <row r="74" spans="1:25" ht="26.1" customHeight="1">
      <c r="A74" s="18"/>
      <c r="B74" s="18"/>
      <c r="C74" s="18"/>
      <c r="D74" s="18"/>
      <c r="E74" s="3"/>
      <c r="F74" s="3"/>
      <c r="G74" s="3"/>
      <c r="H74" s="3"/>
      <c r="I74" s="3"/>
      <c r="J74" s="3"/>
      <c r="K74" s="3"/>
      <c r="L74" s="3"/>
      <c r="M74" s="4" t="str">
        <f t="shared" si="4"/>
        <v/>
      </c>
      <c r="N74" s="4" t="str">
        <f>IF(M74="","",IFERROR(IF(AND(ISNUMBER('Scoring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Methodology'!$F$18,1)=0),IF(ISNUMBER(M74),IF(M74&lt;'Scoring Methodology'!$F$16,"Low",IF(M74&lt;'Scoring Methodology'!$F$17,"Moderate",IF(M74&lt;'Scoring Methodology'!$F$18,"High","Critical"))),"Invalid input"),"Invalid thresholds"),"Invalid thresholds"))</f>
        <v/>
      </c>
      <c r="O74" s="3"/>
      <c r="P74" s="3"/>
      <c r="Q74" s="3"/>
      <c r="R74" s="3"/>
      <c r="S74" s="3"/>
      <c r="T74" s="3"/>
      <c r="U74" s="3"/>
      <c r="V74" s="4" t="str">
        <f t="shared" si="5"/>
        <v/>
      </c>
      <c r="W74" s="4" t="str">
        <f>IF(V74="","",IFERROR(IF(AND(ISNUMBER('Scoring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Methodology'!$F$18,1)=0),IF(ISNUMBER(V74),IF(V74&lt;'Scoring Methodology'!$F$16,"Low",IF(V74&lt;'Scoring Methodology'!$F$17,"Moderate",IF(V74&lt;'Scoring Methodology'!$F$18,"High","Critical"))),"Invalid input"),"Invalid thresholds"),"Invalid thresholds"))</f>
        <v/>
      </c>
      <c r="X74" s="3"/>
      <c r="Y74" s="4">
        <f>IF(E74="",0,IF(AND(OR(Dashboard!$L$7="All",Q74=Dashboard!$L$7),OR(Dashboard!$T$7="All",N74=Dashboard!$T$7)),1,0))</f>
        <v>0</v>
      </c>
    </row>
    <row r="75" spans="1:25" ht="26.1" customHeight="1">
      <c r="A75" s="18"/>
      <c r="B75" s="18"/>
      <c r="C75" s="18"/>
      <c r="D75" s="18"/>
      <c r="E75" s="3"/>
      <c r="F75" s="3"/>
      <c r="G75" s="3"/>
      <c r="H75" s="3"/>
      <c r="I75" s="3"/>
      <c r="J75" s="3"/>
      <c r="K75" s="3"/>
      <c r="L75" s="3"/>
      <c r="M75" s="4" t="str">
        <f t="shared" si="4"/>
        <v/>
      </c>
      <c r="N75" s="4" t="str">
        <f>IF(M75="","",IFERROR(IF(AND(ISNUMBER('Scoring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Methodology'!$F$18,1)=0),IF(ISNUMBER(M75),IF(M75&lt;'Scoring Methodology'!$F$16,"Low",IF(M75&lt;'Scoring Methodology'!$F$17,"Moderate",IF(M75&lt;'Scoring Methodology'!$F$18,"High","Critical"))),"Invalid input"),"Invalid thresholds"),"Invalid thresholds"))</f>
        <v/>
      </c>
      <c r="O75" s="3"/>
      <c r="P75" s="3"/>
      <c r="Q75" s="3"/>
      <c r="R75" s="3"/>
      <c r="S75" s="3"/>
      <c r="T75" s="3"/>
      <c r="U75" s="3"/>
      <c r="V75" s="4" t="str">
        <f t="shared" si="5"/>
        <v/>
      </c>
      <c r="W75" s="4" t="str">
        <f>IF(V75="","",IFERROR(IF(AND(ISNUMBER('Scoring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Methodology'!$F$18,1)=0),IF(ISNUMBER(V75),IF(V75&lt;'Scoring Methodology'!$F$16,"Low",IF(V75&lt;'Scoring Methodology'!$F$17,"Moderate",IF(V75&lt;'Scoring Methodology'!$F$18,"High","Critical"))),"Invalid input"),"Invalid thresholds"),"Invalid thresholds"))</f>
        <v/>
      </c>
      <c r="X75" s="3"/>
      <c r="Y75" s="4">
        <f>IF(E75="",0,IF(AND(OR(Dashboard!$L$7="All",Q75=Dashboard!$L$7),OR(Dashboard!$T$7="All",N75=Dashboard!$T$7)),1,0))</f>
        <v>0</v>
      </c>
    </row>
    <row r="76" spans="1:25" ht="26.1" customHeight="1">
      <c r="A76" s="18"/>
      <c r="B76" s="18"/>
      <c r="C76" s="18"/>
      <c r="D76" s="18"/>
      <c r="E76" s="3"/>
      <c r="F76" s="3"/>
      <c r="G76" s="3"/>
      <c r="H76" s="3"/>
      <c r="I76" s="3"/>
      <c r="J76" s="3"/>
      <c r="K76" s="3"/>
      <c r="L76" s="3"/>
      <c r="M76" s="4" t="str">
        <f t="shared" si="4"/>
        <v/>
      </c>
      <c r="N76" s="4" t="str">
        <f>IF(M76="","",IFERROR(IF(AND(ISNUMBER('Scoring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Methodology'!$F$18,1)=0),IF(ISNUMBER(M76),IF(M76&lt;'Scoring Methodology'!$F$16,"Low",IF(M76&lt;'Scoring Methodology'!$F$17,"Moderate",IF(M76&lt;'Scoring Methodology'!$F$18,"High","Critical"))),"Invalid input"),"Invalid thresholds"),"Invalid thresholds"))</f>
        <v/>
      </c>
      <c r="O76" s="3"/>
      <c r="P76" s="3"/>
      <c r="Q76" s="3"/>
      <c r="R76" s="3"/>
      <c r="S76" s="3"/>
      <c r="T76" s="3"/>
      <c r="U76" s="3"/>
      <c r="V76" s="4" t="str">
        <f t="shared" si="5"/>
        <v/>
      </c>
      <c r="W76" s="4" t="str">
        <f>IF(V76="","",IFERROR(IF(AND(ISNUMBER('Scoring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Methodology'!$F$18,1)=0),IF(ISNUMBER(V76),IF(V76&lt;'Scoring Methodology'!$F$16,"Low",IF(V76&lt;'Scoring Methodology'!$F$17,"Moderate",IF(V76&lt;'Scoring Methodology'!$F$18,"High","Critical"))),"Invalid input"),"Invalid thresholds"),"Invalid thresholds"))</f>
        <v/>
      </c>
      <c r="X76" s="3"/>
      <c r="Y76" s="4">
        <f>IF(E76="",0,IF(AND(OR(Dashboard!$L$7="All",Q76=Dashboard!$L$7),OR(Dashboard!$T$7="All",N76=Dashboard!$T$7)),1,0))</f>
        <v>0</v>
      </c>
    </row>
    <row r="77" spans="1:25" ht="26.1" customHeight="1">
      <c r="A77" s="18"/>
      <c r="B77" s="18"/>
      <c r="C77" s="18"/>
      <c r="D77" s="18"/>
      <c r="E77" s="3"/>
      <c r="F77" s="3"/>
      <c r="G77" s="3"/>
      <c r="H77" s="3"/>
      <c r="I77" s="3"/>
      <c r="J77" s="3"/>
      <c r="K77" s="3"/>
      <c r="L77" s="3"/>
      <c r="M77" s="4" t="str">
        <f t="shared" si="4"/>
        <v/>
      </c>
      <c r="N77" s="4" t="str">
        <f>IF(M77="","",IFERROR(IF(AND(ISNUMBER('Scoring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Methodology'!$F$18,1)=0),IF(ISNUMBER(M77),IF(M77&lt;'Scoring Methodology'!$F$16,"Low",IF(M77&lt;'Scoring Methodology'!$F$17,"Moderate",IF(M77&lt;'Scoring Methodology'!$F$18,"High","Critical"))),"Invalid input"),"Invalid thresholds"),"Invalid thresholds"))</f>
        <v/>
      </c>
      <c r="O77" s="3"/>
      <c r="P77" s="3"/>
      <c r="Q77" s="3"/>
      <c r="R77" s="3"/>
      <c r="S77" s="3"/>
      <c r="T77" s="3"/>
      <c r="U77" s="3"/>
      <c r="V77" s="4" t="str">
        <f t="shared" si="5"/>
        <v/>
      </c>
      <c r="W77" s="4" t="str">
        <f>IF(V77="","",IFERROR(IF(AND(ISNUMBER('Scoring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Methodology'!$F$18,1)=0),IF(ISNUMBER(V77),IF(V77&lt;'Scoring Methodology'!$F$16,"Low",IF(V77&lt;'Scoring Methodology'!$F$17,"Moderate",IF(V77&lt;'Scoring Methodology'!$F$18,"High","Critical"))),"Invalid input"),"Invalid thresholds"),"Invalid thresholds"))</f>
        <v/>
      </c>
      <c r="X77" s="3"/>
      <c r="Y77" s="4">
        <f>IF(E77="",0,IF(AND(OR(Dashboard!$L$7="All",Q77=Dashboard!$L$7),OR(Dashboard!$T$7="All",N77=Dashboard!$T$7)),1,0))</f>
        <v>0</v>
      </c>
    </row>
    <row r="78" spans="1:25" ht="26.1" customHeight="1">
      <c r="A78" s="18"/>
      <c r="B78" s="18"/>
      <c r="C78" s="18"/>
      <c r="D78" s="18"/>
      <c r="E78" s="3"/>
      <c r="F78" s="3"/>
      <c r="G78" s="3"/>
      <c r="H78" s="3"/>
      <c r="I78" s="3"/>
      <c r="J78" s="3"/>
      <c r="K78" s="3"/>
      <c r="L78" s="3"/>
      <c r="M78" s="4" t="str">
        <f t="shared" si="4"/>
        <v/>
      </c>
      <c r="N78" s="4" t="str">
        <f>IF(M78="","",IFERROR(IF(AND(ISNUMBER('Scoring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Methodology'!$F$18,1)=0),IF(ISNUMBER(M78),IF(M78&lt;'Scoring Methodology'!$F$16,"Low",IF(M78&lt;'Scoring Methodology'!$F$17,"Moderate",IF(M78&lt;'Scoring Methodology'!$F$18,"High","Critical"))),"Invalid input"),"Invalid thresholds"),"Invalid thresholds"))</f>
        <v/>
      </c>
      <c r="O78" s="3"/>
      <c r="P78" s="3"/>
      <c r="Q78" s="3"/>
      <c r="R78" s="3"/>
      <c r="S78" s="3"/>
      <c r="T78" s="3"/>
      <c r="U78" s="3"/>
      <c r="V78" s="4" t="str">
        <f t="shared" si="5"/>
        <v/>
      </c>
      <c r="W78" s="4" t="str">
        <f>IF(V78="","",IFERROR(IF(AND(ISNUMBER('Scoring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Methodology'!$F$18,1)=0),IF(ISNUMBER(V78),IF(V78&lt;'Scoring Methodology'!$F$16,"Low",IF(V78&lt;'Scoring Methodology'!$F$17,"Moderate",IF(V78&lt;'Scoring Methodology'!$F$18,"High","Critical"))),"Invalid input"),"Invalid thresholds"),"Invalid thresholds"))</f>
        <v/>
      </c>
      <c r="X78" s="3"/>
      <c r="Y78" s="4">
        <f>IF(E78="",0,IF(AND(OR(Dashboard!$L$7="All",Q78=Dashboard!$L$7),OR(Dashboard!$T$7="All",N78=Dashboard!$T$7)),1,0))</f>
        <v>0</v>
      </c>
    </row>
    <row r="79" spans="1:25" ht="26.1" customHeight="1">
      <c r="A79" s="18"/>
      <c r="B79" s="18"/>
      <c r="C79" s="18"/>
      <c r="D79" s="18"/>
      <c r="E79" s="3"/>
      <c r="F79" s="3"/>
      <c r="G79" s="3"/>
      <c r="H79" s="3"/>
      <c r="I79" s="3"/>
      <c r="J79" s="3"/>
      <c r="K79" s="3"/>
      <c r="L79" s="3"/>
      <c r="M79" s="4" t="str">
        <f t="shared" si="4"/>
        <v/>
      </c>
      <c r="N79" s="4" t="str">
        <f>IF(M79="","",IFERROR(IF(AND(ISNUMBER('Scoring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Methodology'!$F$18,1)=0),IF(ISNUMBER(M79),IF(M79&lt;'Scoring Methodology'!$F$16,"Low",IF(M79&lt;'Scoring Methodology'!$F$17,"Moderate",IF(M79&lt;'Scoring Methodology'!$F$18,"High","Critical"))),"Invalid input"),"Invalid thresholds"),"Invalid thresholds"))</f>
        <v/>
      </c>
      <c r="O79" s="3"/>
      <c r="P79" s="3"/>
      <c r="Q79" s="3"/>
      <c r="R79" s="3"/>
      <c r="S79" s="3"/>
      <c r="T79" s="3"/>
      <c r="U79" s="3"/>
      <c r="V79" s="4" t="str">
        <f t="shared" si="5"/>
        <v/>
      </c>
      <c r="W79" s="4" t="str">
        <f>IF(V79="","",IFERROR(IF(AND(ISNUMBER('Scoring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Methodology'!$F$18,1)=0),IF(ISNUMBER(V79),IF(V79&lt;'Scoring Methodology'!$F$16,"Low",IF(V79&lt;'Scoring Methodology'!$F$17,"Moderate",IF(V79&lt;'Scoring Methodology'!$F$18,"High","Critical"))),"Invalid input"),"Invalid thresholds"),"Invalid thresholds"))</f>
        <v/>
      </c>
      <c r="X79" s="3"/>
      <c r="Y79" s="4">
        <f>IF(E79="",0,IF(AND(OR(Dashboard!$L$7="All",Q79=Dashboard!$L$7),OR(Dashboard!$T$7="All",N79=Dashboard!$T$7)),1,0))</f>
        <v>0</v>
      </c>
    </row>
    <row r="80" spans="1:25" ht="26.1" customHeight="1">
      <c r="A80" s="18"/>
      <c r="B80" s="18"/>
      <c r="C80" s="18"/>
      <c r="D80" s="18"/>
      <c r="E80" s="3"/>
      <c r="F80" s="3"/>
      <c r="G80" s="3"/>
      <c r="H80" s="3"/>
      <c r="I80" s="3"/>
      <c r="J80" s="3"/>
      <c r="K80" s="3"/>
      <c r="L80" s="3"/>
      <c r="M80" s="4" t="str">
        <f t="shared" si="4"/>
        <v/>
      </c>
      <c r="N80" s="4" t="str">
        <f>IF(M80="","",IFERROR(IF(AND(ISNUMBER('Scoring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Methodology'!$F$18,1)=0),IF(ISNUMBER(M80),IF(M80&lt;'Scoring Methodology'!$F$16,"Low",IF(M80&lt;'Scoring Methodology'!$F$17,"Moderate",IF(M80&lt;'Scoring Methodology'!$F$18,"High","Critical"))),"Invalid input"),"Invalid thresholds"),"Invalid thresholds"))</f>
        <v/>
      </c>
      <c r="O80" s="3"/>
      <c r="P80" s="3"/>
      <c r="Q80" s="3"/>
      <c r="R80" s="3"/>
      <c r="S80" s="3"/>
      <c r="T80" s="3"/>
      <c r="U80" s="3"/>
      <c r="V80" s="4" t="str">
        <f t="shared" si="5"/>
        <v/>
      </c>
      <c r="W80" s="4" t="str">
        <f>IF(V80="","",IFERROR(IF(AND(ISNUMBER('Scoring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Methodology'!$F$18,1)=0),IF(ISNUMBER(V80),IF(V80&lt;'Scoring Methodology'!$F$16,"Low",IF(V80&lt;'Scoring Methodology'!$F$17,"Moderate",IF(V80&lt;'Scoring Methodology'!$F$18,"High","Critical"))),"Invalid input"),"Invalid thresholds"),"Invalid thresholds"))</f>
        <v/>
      </c>
      <c r="X80" s="3"/>
      <c r="Y80" s="4">
        <f>IF(E80="",0,IF(AND(OR(Dashboard!$L$7="All",Q80=Dashboard!$L$7),OR(Dashboard!$T$7="All",N80=Dashboard!$T$7)),1,0))</f>
        <v>0</v>
      </c>
    </row>
    <row r="81" spans="1:25" ht="26.1" customHeight="1">
      <c r="A81" s="18"/>
      <c r="B81" s="18"/>
      <c r="C81" s="18"/>
      <c r="D81" s="18"/>
      <c r="E81" s="3"/>
      <c r="F81" s="3"/>
      <c r="G81" s="3"/>
      <c r="H81" s="3"/>
      <c r="I81" s="3"/>
      <c r="J81" s="3"/>
      <c r="K81" s="3"/>
      <c r="L81" s="3"/>
      <c r="M81" s="4" t="str">
        <f t="shared" si="4"/>
        <v/>
      </c>
      <c r="N81" s="4" t="str">
        <f>IF(M81="","",IFERROR(IF(AND(ISNUMBER('Scoring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Methodology'!$F$18,1)=0),IF(ISNUMBER(M81),IF(M81&lt;'Scoring Methodology'!$F$16,"Low",IF(M81&lt;'Scoring Methodology'!$F$17,"Moderate",IF(M81&lt;'Scoring Methodology'!$F$18,"High","Critical"))),"Invalid input"),"Invalid thresholds"),"Invalid thresholds"))</f>
        <v/>
      </c>
      <c r="O81" s="3"/>
      <c r="P81" s="3"/>
      <c r="Q81" s="3"/>
      <c r="R81" s="3"/>
      <c r="S81" s="3"/>
      <c r="T81" s="3"/>
      <c r="U81" s="3"/>
      <c r="V81" s="4" t="str">
        <f t="shared" si="5"/>
        <v/>
      </c>
      <c r="W81" s="4" t="str">
        <f>IF(V81="","",IFERROR(IF(AND(ISNUMBER('Scoring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Methodology'!$F$18,1)=0),IF(ISNUMBER(V81),IF(V81&lt;'Scoring Methodology'!$F$16,"Low",IF(V81&lt;'Scoring Methodology'!$F$17,"Moderate",IF(V81&lt;'Scoring Methodology'!$F$18,"High","Critical"))),"Invalid input"),"Invalid thresholds"),"Invalid thresholds"))</f>
        <v/>
      </c>
      <c r="X81" s="3"/>
      <c r="Y81" s="4">
        <f>IF(E81="",0,IF(AND(OR(Dashboard!$L$7="All",Q81=Dashboard!$L$7),OR(Dashboard!$T$7="All",N81=Dashboard!$T$7)),1,0))</f>
        <v>0</v>
      </c>
    </row>
    <row r="82" spans="1:25" ht="26.1" customHeight="1">
      <c r="A82" s="18"/>
      <c r="B82" s="18"/>
      <c r="C82" s="18"/>
      <c r="D82" s="18"/>
      <c r="E82" s="3"/>
      <c r="F82" s="3"/>
      <c r="G82" s="3"/>
      <c r="H82" s="3"/>
      <c r="I82" s="3"/>
      <c r="J82" s="3"/>
      <c r="K82" s="3"/>
      <c r="L82" s="3"/>
      <c r="M82" s="4" t="str">
        <f t="shared" si="4"/>
        <v/>
      </c>
      <c r="N82" s="4" t="str">
        <f>IF(M82="","",IFERROR(IF(AND(ISNUMBER('Scoring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Methodology'!$F$18,1)=0),IF(ISNUMBER(M82),IF(M82&lt;'Scoring Methodology'!$F$16,"Low",IF(M82&lt;'Scoring Methodology'!$F$17,"Moderate",IF(M82&lt;'Scoring Methodology'!$F$18,"High","Critical"))),"Invalid input"),"Invalid thresholds"),"Invalid thresholds"))</f>
        <v/>
      </c>
      <c r="O82" s="3"/>
      <c r="P82" s="3"/>
      <c r="Q82" s="3"/>
      <c r="R82" s="3"/>
      <c r="S82" s="3"/>
      <c r="T82" s="3"/>
      <c r="U82" s="3"/>
      <c r="V82" s="4" t="str">
        <f t="shared" si="5"/>
        <v/>
      </c>
      <c r="W82" s="4" t="str">
        <f>IF(V82="","",IFERROR(IF(AND(ISNUMBER('Scoring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Methodology'!$F$18,1)=0),IF(ISNUMBER(V82),IF(V82&lt;'Scoring Methodology'!$F$16,"Low",IF(V82&lt;'Scoring Methodology'!$F$17,"Moderate",IF(V82&lt;'Scoring Methodology'!$F$18,"High","Critical"))),"Invalid input"),"Invalid thresholds"),"Invalid thresholds"))</f>
        <v/>
      </c>
      <c r="X82" s="3"/>
      <c r="Y82" s="4">
        <f>IF(E82="",0,IF(AND(OR(Dashboard!$L$7="All",Q82=Dashboard!$L$7),OR(Dashboard!$T$7="All",N82=Dashboard!$T$7)),1,0))</f>
        <v>0</v>
      </c>
    </row>
    <row r="83" spans="1:25" ht="26.1" customHeight="1">
      <c r="A83" s="18"/>
      <c r="B83" s="18"/>
      <c r="C83" s="18"/>
      <c r="D83" s="18"/>
      <c r="E83" s="3"/>
      <c r="F83" s="3"/>
      <c r="G83" s="3"/>
      <c r="H83" s="3"/>
      <c r="I83" s="3"/>
      <c r="J83" s="3"/>
      <c r="K83" s="3"/>
      <c r="L83" s="3"/>
      <c r="M83" s="4" t="str">
        <f t="shared" si="4"/>
        <v/>
      </c>
      <c r="N83" s="4" t="str">
        <f>IF(M83="","",IFERROR(IF(AND(ISNUMBER('Scoring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Methodology'!$F$18,1)=0),IF(ISNUMBER(M83),IF(M83&lt;'Scoring Methodology'!$F$16,"Low",IF(M83&lt;'Scoring Methodology'!$F$17,"Moderate",IF(M83&lt;'Scoring Methodology'!$F$18,"High","Critical"))),"Invalid input"),"Invalid thresholds"),"Invalid thresholds"))</f>
        <v/>
      </c>
      <c r="O83" s="3"/>
      <c r="P83" s="3"/>
      <c r="Q83" s="3"/>
      <c r="R83" s="3"/>
      <c r="S83" s="3"/>
      <c r="T83" s="3"/>
      <c r="U83" s="3"/>
      <c r="V83" s="4" t="str">
        <f t="shared" si="5"/>
        <v/>
      </c>
      <c r="W83" s="4" t="str">
        <f>IF(V83="","",IFERROR(IF(AND(ISNUMBER('Scoring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Methodology'!$F$18,1)=0),IF(ISNUMBER(V83),IF(V83&lt;'Scoring Methodology'!$F$16,"Low",IF(V83&lt;'Scoring Methodology'!$F$17,"Moderate",IF(V83&lt;'Scoring Methodology'!$F$18,"High","Critical"))),"Invalid input"),"Invalid thresholds"),"Invalid thresholds"))</f>
        <v/>
      </c>
      <c r="X83" s="3"/>
      <c r="Y83" s="4">
        <f>IF(E83="",0,IF(AND(OR(Dashboard!$L$7="All",Q83=Dashboard!$L$7),OR(Dashboard!$T$7="All",N83=Dashboard!$T$7)),1,0))</f>
        <v>0</v>
      </c>
    </row>
    <row r="84" spans="1:25" ht="26.1" customHeight="1">
      <c r="A84" s="18"/>
      <c r="B84" s="18"/>
      <c r="C84" s="18"/>
      <c r="D84" s="18"/>
      <c r="E84" s="3"/>
      <c r="F84" s="3"/>
      <c r="G84" s="3"/>
      <c r="H84" s="3"/>
      <c r="I84" s="3"/>
      <c r="J84" s="3"/>
      <c r="K84" s="3"/>
      <c r="L84" s="3"/>
      <c r="M84" s="4" t="str">
        <f t="shared" si="4"/>
        <v/>
      </c>
      <c r="N84" s="4" t="str">
        <f>IF(M84="","",IFERROR(IF(AND(ISNUMBER('Scoring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Methodology'!$F$18,1)=0),IF(ISNUMBER(M84),IF(M84&lt;'Scoring Methodology'!$F$16,"Low",IF(M84&lt;'Scoring Methodology'!$F$17,"Moderate",IF(M84&lt;'Scoring Methodology'!$F$18,"High","Critical"))),"Invalid input"),"Invalid thresholds"),"Invalid thresholds"))</f>
        <v/>
      </c>
      <c r="O84" s="3"/>
      <c r="P84" s="3"/>
      <c r="Q84" s="3"/>
      <c r="R84" s="3"/>
      <c r="S84" s="3"/>
      <c r="T84" s="3"/>
      <c r="U84" s="3"/>
      <c r="V84" s="4" t="str">
        <f t="shared" si="5"/>
        <v/>
      </c>
      <c r="W84" s="4" t="str">
        <f>IF(V84="","",IFERROR(IF(AND(ISNUMBER('Scoring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Methodology'!$F$18,1)=0),IF(ISNUMBER(V84),IF(V84&lt;'Scoring Methodology'!$F$16,"Low",IF(V84&lt;'Scoring Methodology'!$F$17,"Moderate",IF(V84&lt;'Scoring Methodology'!$F$18,"High","Critical"))),"Invalid input"),"Invalid thresholds"),"Invalid thresholds"))</f>
        <v/>
      </c>
      <c r="X84" s="3"/>
      <c r="Y84" s="4">
        <f>IF(E84="",0,IF(AND(OR(Dashboard!$L$7="All",Q84=Dashboard!$L$7),OR(Dashboard!$T$7="All",N84=Dashboard!$T$7)),1,0))</f>
        <v>0</v>
      </c>
    </row>
    <row r="85" spans="1:25" ht="26.1" customHeight="1">
      <c r="A85" s="18"/>
      <c r="B85" s="18"/>
      <c r="C85" s="18"/>
      <c r="D85" s="18"/>
      <c r="E85" s="3"/>
      <c r="F85" s="3"/>
      <c r="G85" s="3"/>
      <c r="H85" s="3"/>
      <c r="I85" s="3"/>
      <c r="J85" s="3"/>
      <c r="K85" s="3"/>
      <c r="L85" s="3"/>
      <c r="M85" s="4" t="str">
        <f t="shared" si="4"/>
        <v/>
      </c>
      <c r="N85" s="4" t="str">
        <f>IF(M85="","",IFERROR(IF(AND(ISNUMBER('Scoring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Methodology'!$F$18,1)=0),IF(ISNUMBER(M85),IF(M85&lt;'Scoring Methodology'!$F$16,"Low",IF(M85&lt;'Scoring Methodology'!$F$17,"Moderate",IF(M85&lt;'Scoring Methodology'!$F$18,"High","Critical"))),"Invalid input"),"Invalid thresholds"),"Invalid thresholds"))</f>
        <v/>
      </c>
      <c r="O85" s="3"/>
      <c r="P85" s="3"/>
      <c r="Q85" s="3"/>
      <c r="R85" s="3"/>
      <c r="S85" s="3"/>
      <c r="T85" s="3"/>
      <c r="U85" s="3"/>
      <c r="V85" s="4" t="str">
        <f t="shared" si="5"/>
        <v/>
      </c>
      <c r="W85" s="4" t="str">
        <f>IF(V85="","",IFERROR(IF(AND(ISNUMBER('Scoring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Methodology'!$F$18,1)=0),IF(ISNUMBER(V85),IF(V85&lt;'Scoring Methodology'!$F$16,"Low",IF(V85&lt;'Scoring Methodology'!$F$17,"Moderate",IF(V85&lt;'Scoring Methodology'!$F$18,"High","Critical"))),"Invalid input"),"Invalid thresholds"),"Invalid thresholds"))</f>
        <v/>
      </c>
      <c r="X85" s="3"/>
      <c r="Y85" s="4">
        <f>IF(E85="",0,IF(AND(OR(Dashboard!$L$7="All",Q85=Dashboard!$L$7),OR(Dashboard!$T$7="All",N85=Dashboard!$T$7)),1,0))</f>
        <v>0</v>
      </c>
    </row>
    <row r="86" spans="1:25" ht="26.1" customHeight="1">
      <c r="A86" s="18"/>
      <c r="B86" s="18"/>
      <c r="C86" s="18"/>
      <c r="D86" s="18"/>
      <c r="E86" s="3"/>
      <c r="F86" s="3"/>
      <c r="G86" s="3"/>
      <c r="H86" s="3"/>
      <c r="I86" s="3"/>
      <c r="J86" s="3"/>
      <c r="K86" s="3"/>
      <c r="L86" s="3"/>
      <c r="M86" s="4" t="str">
        <f t="shared" si="4"/>
        <v/>
      </c>
      <c r="N86" s="4" t="str">
        <f>IF(M86="","",IFERROR(IF(AND(ISNUMBER('Scoring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Methodology'!$F$18,1)=0),IF(ISNUMBER(M86),IF(M86&lt;'Scoring Methodology'!$F$16,"Low",IF(M86&lt;'Scoring Methodology'!$F$17,"Moderate",IF(M86&lt;'Scoring Methodology'!$F$18,"High","Critical"))),"Invalid input"),"Invalid thresholds"),"Invalid thresholds"))</f>
        <v/>
      </c>
      <c r="O86" s="3"/>
      <c r="P86" s="3"/>
      <c r="Q86" s="3"/>
      <c r="R86" s="3"/>
      <c r="S86" s="3"/>
      <c r="T86" s="3"/>
      <c r="U86" s="3"/>
      <c r="V86" s="4" t="str">
        <f t="shared" si="5"/>
        <v/>
      </c>
      <c r="W86" s="4" t="str">
        <f>IF(V86="","",IFERROR(IF(AND(ISNUMBER('Scoring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Methodology'!$F$18,1)=0),IF(ISNUMBER(V86),IF(V86&lt;'Scoring Methodology'!$F$16,"Low",IF(V86&lt;'Scoring Methodology'!$F$17,"Moderate",IF(V86&lt;'Scoring Methodology'!$F$18,"High","Critical"))),"Invalid input"),"Invalid thresholds"),"Invalid thresholds"))</f>
        <v/>
      </c>
      <c r="X86" s="3"/>
      <c r="Y86" s="4">
        <f>IF(E86="",0,IF(AND(OR(Dashboard!$L$7="All",Q86=Dashboard!$L$7),OR(Dashboard!$T$7="All",N86=Dashboard!$T$7)),1,0))</f>
        <v>0</v>
      </c>
    </row>
    <row r="87" spans="1:25" ht="26.1" customHeight="1">
      <c r="A87" s="18"/>
      <c r="B87" s="18"/>
      <c r="C87" s="18"/>
      <c r="D87" s="18"/>
      <c r="E87" s="3"/>
      <c r="F87" s="3"/>
      <c r="G87" s="3"/>
      <c r="H87" s="3"/>
      <c r="I87" s="3"/>
      <c r="J87" s="3"/>
      <c r="K87" s="3"/>
      <c r="L87" s="3"/>
      <c r="M87" s="4" t="str">
        <f t="shared" si="4"/>
        <v/>
      </c>
      <c r="N87" s="4" t="str">
        <f>IF(M87="","",IFERROR(IF(AND(ISNUMBER('Scoring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Methodology'!$F$18,1)=0),IF(ISNUMBER(M87),IF(M87&lt;'Scoring Methodology'!$F$16,"Low",IF(M87&lt;'Scoring Methodology'!$F$17,"Moderate",IF(M87&lt;'Scoring Methodology'!$F$18,"High","Critical"))),"Invalid input"),"Invalid thresholds"),"Invalid thresholds"))</f>
        <v/>
      </c>
      <c r="O87" s="3"/>
      <c r="P87" s="3"/>
      <c r="Q87" s="3"/>
      <c r="R87" s="3"/>
      <c r="S87" s="3"/>
      <c r="T87" s="3"/>
      <c r="U87" s="3"/>
      <c r="V87" s="4" t="str">
        <f t="shared" si="5"/>
        <v/>
      </c>
      <c r="W87" s="4" t="str">
        <f>IF(V87="","",IFERROR(IF(AND(ISNUMBER('Scoring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Methodology'!$F$18,1)=0),IF(ISNUMBER(V87),IF(V87&lt;'Scoring Methodology'!$F$16,"Low",IF(V87&lt;'Scoring Methodology'!$F$17,"Moderate",IF(V87&lt;'Scoring Methodology'!$F$18,"High","Critical"))),"Invalid input"),"Invalid thresholds"),"Invalid thresholds"))</f>
        <v/>
      </c>
      <c r="X87" s="3"/>
      <c r="Y87" s="4">
        <f>IF(E87="",0,IF(AND(OR(Dashboard!$L$7="All",Q87=Dashboard!$L$7),OR(Dashboard!$T$7="All",N87=Dashboard!$T$7)),1,0))</f>
        <v>0</v>
      </c>
    </row>
    <row r="88" spans="1:25" ht="26.1" customHeight="1">
      <c r="A88" s="18"/>
      <c r="B88" s="18"/>
      <c r="C88" s="18"/>
      <c r="D88" s="18"/>
      <c r="E88" s="3"/>
      <c r="F88" s="3"/>
      <c r="G88" s="3"/>
      <c r="H88" s="3"/>
      <c r="I88" s="3"/>
      <c r="J88" s="3"/>
      <c r="K88" s="3"/>
      <c r="L88" s="3"/>
      <c r="M88" s="4" t="str">
        <f t="shared" si="4"/>
        <v/>
      </c>
      <c r="N88" s="4" t="str">
        <f>IF(M88="","",IFERROR(IF(AND(ISNUMBER('Scoring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Methodology'!$F$18,1)=0),IF(ISNUMBER(M88),IF(M88&lt;'Scoring Methodology'!$F$16,"Low",IF(M88&lt;'Scoring Methodology'!$F$17,"Moderate",IF(M88&lt;'Scoring Methodology'!$F$18,"High","Critical"))),"Invalid input"),"Invalid thresholds"),"Invalid thresholds"))</f>
        <v/>
      </c>
      <c r="O88" s="3"/>
      <c r="P88" s="3"/>
      <c r="Q88" s="3"/>
      <c r="R88" s="3"/>
      <c r="S88" s="3"/>
      <c r="T88" s="3"/>
      <c r="U88" s="3"/>
      <c r="V88" s="4" t="str">
        <f t="shared" si="5"/>
        <v/>
      </c>
      <c r="W88" s="4" t="str">
        <f>IF(V88="","",IFERROR(IF(AND(ISNUMBER('Scoring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Methodology'!$F$18,1)=0),IF(ISNUMBER(V88),IF(V88&lt;'Scoring Methodology'!$F$16,"Low",IF(V88&lt;'Scoring Methodology'!$F$17,"Moderate",IF(V88&lt;'Scoring Methodology'!$F$18,"High","Critical"))),"Invalid input"),"Invalid thresholds"),"Invalid thresholds"))</f>
        <v/>
      </c>
      <c r="X88" s="3"/>
      <c r="Y88" s="4">
        <f>IF(E88="",0,IF(AND(OR(Dashboard!$L$7="All",Q88=Dashboard!$L$7),OR(Dashboard!$T$7="All",N88=Dashboard!$T$7)),1,0))</f>
        <v>0</v>
      </c>
    </row>
    <row r="89" spans="1:25" ht="26.1" customHeight="1">
      <c r="A89" s="18"/>
      <c r="B89" s="18"/>
      <c r="C89" s="18"/>
      <c r="D89" s="18"/>
      <c r="E89" s="3"/>
      <c r="F89" s="3"/>
      <c r="G89" s="3"/>
      <c r="H89" s="3"/>
      <c r="I89" s="3"/>
      <c r="J89" s="3"/>
      <c r="K89" s="3"/>
      <c r="L89" s="3"/>
      <c r="M89" s="4" t="str">
        <f t="shared" si="4"/>
        <v/>
      </c>
      <c r="N89" s="4" t="str">
        <f>IF(M89="","",IFERROR(IF(AND(ISNUMBER('Scoring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Methodology'!$F$18,1)=0),IF(ISNUMBER(M89),IF(M89&lt;'Scoring Methodology'!$F$16,"Low",IF(M89&lt;'Scoring Methodology'!$F$17,"Moderate",IF(M89&lt;'Scoring Methodology'!$F$18,"High","Critical"))),"Invalid input"),"Invalid thresholds"),"Invalid thresholds"))</f>
        <v/>
      </c>
      <c r="O89" s="3"/>
      <c r="P89" s="3"/>
      <c r="Q89" s="3"/>
      <c r="R89" s="3"/>
      <c r="S89" s="3"/>
      <c r="T89" s="3"/>
      <c r="U89" s="3"/>
      <c r="V89" s="4" t="str">
        <f t="shared" si="5"/>
        <v/>
      </c>
      <c r="W89" s="4" t="str">
        <f>IF(V89="","",IFERROR(IF(AND(ISNUMBER('Scoring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Methodology'!$F$18,1)=0),IF(ISNUMBER(V89),IF(V89&lt;'Scoring Methodology'!$F$16,"Low",IF(V89&lt;'Scoring Methodology'!$F$17,"Moderate",IF(V89&lt;'Scoring Methodology'!$F$18,"High","Critical"))),"Invalid input"),"Invalid thresholds"),"Invalid thresholds"))</f>
        <v/>
      </c>
      <c r="X89" s="3"/>
      <c r="Y89" s="4">
        <f>IF(E89="",0,IF(AND(OR(Dashboard!$L$7="All",Q89=Dashboard!$L$7),OR(Dashboard!$T$7="All",N89=Dashboard!$T$7)),1,0))</f>
        <v>0</v>
      </c>
    </row>
    <row r="90" spans="1:25" ht="26.1" customHeight="1">
      <c r="A90" s="18"/>
      <c r="B90" s="18"/>
      <c r="C90" s="18"/>
      <c r="D90" s="18"/>
      <c r="E90" s="3"/>
      <c r="F90" s="3"/>
      <c r="G90" s="3"/>
      <c r="H90" s="3"/>
      <c r="I90" s="3"/>
      <c r="J90" s="3"/>
      <c r="K90" s="3"/>
      <c r="L90" s="3"/>
      <c r="M90" s="4" t="str">
        <f t="shared" si="4"/>
        <v/>
      </c>
      <c r="N90" s="4" t="str">
        <f>IF(M90="","",IFERROR(IF(AND(ISNUMBER('Scoring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Methodology'!$F$18,1)=0),IF(ISNUMBER(M90),IF(M90&lt;'Scoring Methodology'!$F$16,"Low",IF(M90&lt;'Scoring Methodology'!$F$17,"Moderate",IF(M90&lt;'Scoring Methodology'!$F$18,"High","Critical"))),"Invalid input"),"Invalid thresholds"),"Invalid thresholds"))</f>
        <v/>
      </c>
      <c r="O90" s="3"/>
      <c r="P90" s="3"/>
      <c r="Q90" s="3"/>
      <c r="R90" s="3"/>
      <c r="S90" s="3"/>
      <c r="T90" s="3"/>
      <c r="U90" s="3"/>
      <c r="V90" s="4" t="str">
        <f t="shared" si="5"/>
        <v/>
      </c>
      <c r="W90" s="4" t="str">
        <f>IF(V90="","",IFERROR(IF(AND(ISNUMBER('Scoring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Methodology'!$F$18,1)=0),IF(ISNUMBER(V90),IF(V90&lt;'Scoring Methodology'!$F$16,"Low",IF(V90&lt;'Scoring Methodology'!$F$17,"Moderate",IF(V90&lt;'Scoring Methodology'!$F$18,"High","Critical"))),"Invalid input"),"Invalid thresholds"),"Invalid thresholds"))</f>
        <v/>
      </c>
      <c r="X90" s="3"/>
      <c r="Y90" s="4">
        <f>IF(E90="",0,IF(AND(OR(Dashboard!$L$7="All",Q90=Dashboard!$L$7),OR(Dashboard!$T$7="All",N90=Dashboard!$T$7)),1,0))</f>
        <v>0</v>
      </c>
    </row>
    <row r="91" spans="1:25" ht="26.1" customHeight="1">
      <c r="A91" s="18"/>
      <c r="B91" s="18"/>
      <c r="C91" s="18"/>
      <c r="D91" s="18"/>
      <c r="E91" s="3"/>
      <c r="F91" s="3"/>
      <c r="G91" s="3"/>
      <c r="H91" s="3"/>
      <c r="I91" s="3"/>
      <c r="J91" s="3"/>
      <c r="K91" s="3"/>
      <c r="L91" s="3"/>
      <c r="M91" s="4" t="str">
        <f t="shared" si="4"/>
        <v/>
      </c>
      <c r="N91" s="4" t="str">
        <f>IF(M91="","",IFERROR(IF(AND(ISNUMBER('Scoring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Methodology'!$F$18,1)=0),IF(ISNUMBER(M91),IF(M91&lt;'Scoring Methodology'!$F$16,"Low",IF(M91&lt;'Scoring Methodology'!$F$17,"Moderate",IF(M91&lt;'Scoring Methodology'!$F$18,"High","Critical"))),"Invalid input"),"Invalid thresholds"),"Invalid thresholds"))</f>
        <v/>
      </c>
      <c r="O91" s="3"/>
      <c r="P91" s="3"/>
      <c r="Q91" s="3"/>
      <c r="R91" s="3"/>
      <c r="S91" s="3"/>
      <c r="T91" s="3"/>
      <c r="U91" s="3"/>
      <c r="V91" s="4" t="str">
        <f t="shared" si="5"/>
        <v/>
      </c>
      <c r="W91" s="4" t="str">
        <f>IF(V91="","",IFERROR(IF(AND(ISNUMBER('Scoring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Methodology'!$F$18,1)=0),IF(ISNUMBER(V91),IF(V91&lt;'Scoring Methodology'!$F$16,"Low",IF(V91&lt;'Scoring Methodology'!$F$17,"Moderate",IF(V91&lt;'Scoring Methodology'!$F$18,"High","Critical"))),"Invalid input"),"Invalid thresholds"),"Invalid thresholds"))</f>
        <v/>
      </c>
      <c r="X91" s="3"/>
      <c r="Y91" s="4">
        <f>IF(E91="",0,IF(AND(OR(Dashboard!$L$7="All",Q91=Dashboard!$L$7),OR(Dashboard!$T$7="All",N91=Dashboard!$T$7)),1,0))</f>
        <v>0</v>
      </c>
    </row>
    <row r="92" spans="1:25" ht="26.1" customHeight="1">
      <c r="A92" s="18"/>
      <c r="B92" s="18"/>
      <c r="C92" s="18"/>
      <c r="D92" s="18"/>
      <c r="E92" s="3"/>
      <c r="F92" s="3"/>
      <c r="G92" s="3"/>
      <c r="H92" s="3"/>
      <c r="I92" s="3"/>
      <c r="J92" s="3"/>
      <c r="K92" s="3"/>
      <c r="L92" s="3"/>
      <c r="M92" s="4" t="str">
        <f t="shared" si="4"/>
        <v/>
      </c>
      <c r="N92" s="4" t="str">
        <f>IF(M92="","",IFERROR(IF(AND(ISNUMBER('Scoring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Methodology'!$F$18,1)=0),IF(ISNUMBER(M92),IF(M92&lt;'Scoring Methodology'!$F$16,"Low",IF(M92&lt;'Scoring Methodology'!$F$17,"Moderate",IF(M92&lt;'Scoring Methodology'!$F$18,"High","Critical"))),"Invalid input"),"Invalid thresholds"),"Invalid thresholds"))</f>
        <v/>
      </c>
      <c r="O92" s="3"/>
      <c r="P92" s="3"/>
      <c r="Q92" s="3"/>
      <c r="R92" s="3"/>
      <c r="S92" s="3"/>
      <c r="T92" s="3"/>
      <c r="U92" s="3"/>
      <c r="V92" s="4" t="str">
        <f t="shared" si="5"/>
        <v/>
      </c>
      <c r="W92" s="4" t="str">
        <f>IF(V92="","",IFERROR(IF(AND(ISNUMBER('Scoring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Methodology'!$F$18,1)=0),IF(ISNUMBER(V92),IF(V92&lt;'Scoring Methodology'!$F$16,"Low",IF(V92&lt;'Scoring Methodology'!$F$17,"Moderate",IF(V92&lt;'Scoring Methodology'!$F$18,"High","Critical"))),"Invalid input"),"Invalid thresholds"),"Invalid thresholds"))</f>
        <v/>
      </c>
      <c r="X92" s="3"/>
      <c r="Y92" s="4">
        <f>IF(E92="",0,IF(AND(OR(Dashboard!$L$7="All",Q92=Dashboard!$L$7),OR(Dashboard!$T$7="All",N92=Dashboard!$T$7)),1,0))</f>
        <v>0</v>
      </c>
    </row>
    <row r="93" spans="1:25" ht="26.1" customHeight="1">
      <c r="A93" s="18"/>
      <c r="B93" s="18"/>
      <c r="C93" s="18"/>
      <c r="D93" s="18"/>
      <c r="E93" s="3"/>
      <c r="F93" s="3"/>
      <c r="G93" s="3"/>
      <c r="H93" s="3"/>
      <c r="I93" s="3"/>
      <c r="J93" s="3"/>
      <c r="K93" s="3"/>
      <c r="L93" s="3"/>
      <c r="M93" s="4" t="str">
        <f t="shared" si="4"/>
        <v/>
      </c>
      <c r="N93" s="4" t="str">
        <f>IF(M93="","",IFERROR(IF(AND(ISNUMBER('Scoring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Methodology'!$F$18,1)=0),IF(ISNUMBER(M93),IF(M93&lt;'Scoring Methodology'!$F$16,"Low",IF(M93&lt;'Scoring Methodology'!$F$17,"Moderate",IF(M93&lt;'Scoring Methodology'!$F$18,"High","Critical"))),"Invalid input"),"Invalid thresholds"),"Invalid thresholds"))</f>
        <v/>
      </c>
      <c r="O93" s="3"/>
      <c r="P93" s="3"/>
      <c r="Q93" s="3"/>
      <c r="R93" s="3"/>
      <c r="S93" s="3"/>
      <c r="T93" s="3"/>
      <c r="U93" s="3"/>
      <c r="V93" s="4" t="str">
        <f t="shared" si="5"/>
        <v/>
      </c>
      <c r="W93" s="4" t="str">
        <f>IF(V93="","",IFERROR(IF(AND(ISNUMBER('Scoring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Methodology'!$F$18,1)=0),IF(ISNUMBER(V93),IF(V93&lt;'Scoring Methodology'!$F$16,"Low",IF(V93&lt;'Scoring Methodology'!$F$17,"Moderate",IF(V93&lt;'Scoring Methodology'!$F$18,"High","Critical"))),"Invalid input"),"Invalid thresholds"),"Invalid thresholds"))</f>
        <v/>
      </c>
      <c r="X93" s="3"/>
      <c r="Y93" s="4">
        <f>IF(E93="",0,IF(AND(OR(Dashboard!$L$7="All",Q93=Dashboard!$L$7),OR(Dashboard!$T$7="All",N93=Dashboard!$T$7)),1,0))</f>
        <v>0</v>
      </c>
    </row>
    <row r="94" spans="1:25" ht="26.1" customHeight="1">
      <c r="A94" s="18"/>
      <c r="B94" s="18"/>
      <c r="C94" s="18"/>
      <c r="D94" s="18"/>
      <c r="E94" s="3"/>
      <c r="F94" s="3"/>
      <c r="G94" s="3"/>
      <c r="H94" s="3"/>
      <c r="I94" s="3"/>
      <c r="J94" s="3"/>
      <c r="K94" s="3"/>
      <c r="L94" s="3"/>
      <c r="M94" s="4" t="str">
        <f t="shared" si="4"/>
        <v/>
      </c>
      <c r="N94" s="4" t="str">
        <f>IF(M94="","",IFERROR(IF(AND(ISNUMBER('Scoring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Methodology'!$F$18,1)=0),IF(ISNUMBER(M94),IF(M94&lt;'Scoring Methodology'!$F$16,"Low",IF(M94&lt;'Scoring Methodology'!$F$17,"Moderate",IF(M94&lt;'Scoring Methodology'!$F$18,"High","Critical"))),"Invalid input"),"Invalid thresholds"),"Invalid thresholds"))</f>
        <v/>
      </c>
      <c r="O94" s="3"/>
      <c r="P94" s="3"/>
      <c r="Q94" s="3"/>
      <c r="R94" s="3"/>
      <c r="S94" s="3"/>
      <c r="T94" s="3"/>
      <c r="U94" s="3"/>
      <c r="V94" s="4" t="str">
        <f t="shared" si="5"/>
        <v/>
      </c>
      <c r="W94" s="4" t="str">
        <f>IF(V94="","",IFERROR(IF(AND(ISNUMBER('Scoring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Methodology'!$F$18,1)=0),IF(ISNUMBER(V94),IF(V94&lt;'Scoring Methodology'!$F$16,"Low",IF(V94&lt;'Scoring Methodology'!$F$17,"Moderate",IF(V94&lt;'Scoring Methodology'!$F$18,"High","Critical"))),"Invalid input"),"Invalid thresholds"),"Invalid thresholds"))</f>
        <v/>
      </c>
      <c r="X94" s="3"/>
      <c r="Y94" s="4">
        <f>IF(E94="",0,IF(AND(OR(Dashboard!$L$7="All",Q94=Dashboard!$L$7),OR(Dashboard!$T$7="All",N94=Dashboard!$T$7)),1,0))</f>
        <v>0</v>
      </c>
    </row>
    <row r="95" spans="1:25" ht="26.1" customHeight="1">
      <c r="A95" s="18"/>
      <c r="B95" s="18"/>
      <c r="C95" s="18"/>
      <c r="D95" s="18"/>
      <c r="E95" s="3"/>
      <c r="F95" s="3"/>
      <c r="G95" s="3"/>
      <c r="H95" s="3"/>
      <c r="I95" s="3"/>
      <c r="J95" s="3"/>
      <c r="K95" s="3"/>
      <c r="L95" s="3"/>
      <c r="M95" s="4" t="str">
        <f t="shared" si="4"/>
        <v/>
      </c>
      <c r="N95" s="4" t="str">
        <f>IF(M95="","",IFERROR(IF(AND(ISNUMBER('Scoring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Methodology'!$F$18,1)=0),IF(ISNUMBER(M95),IF(M95&lt;'Scoring Methodology'!$F$16,"Low",IF(M95&lt;'Scoring Methodology'!$F$17,"Moderate",IF(M95&lt;'Scoring Methodology'!$F$18,"High","Critical"))),"Invalid input"),"Invalid thresholds"),"Invalid thresholds"))</f>
        <v/>
      </c>
      <c r="O95" s="3"/>
      <c r="P95" s="3"/>
      <c r="Q95" s="3"/>
      <c r="R95" s="3"/>
      <c r="S95" s="3"/>
      <c r="T95" s="3"/>
      <c r="U95" s="3"/>
      <c r="V95" s="4" t="str">
        <f t="shared" si="5"/>
        <v/>
      </c>
      <c r="W95" s="4" t="str">
        <f>IF(V95="","",IFERROR(IF(AND(ISNUMBER('Scoring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Methodology'!$F$18,1)=0),IF(ISNUMBER(V95),IF(V95&lt;'Scoring Methodology'!$F$16,"Low",IF(V95&lt;'Scoring Methodology'!$F$17,"Moderate",IF(V95&lt;'Scoring Methodology'!$F$18,"High","Critical"))),"Invalid input"),"Invalid thresholds"),"Invalid thresholds"))</f>
        <v/>
      </c>
      <c r="X95" s="3"/>
      <c r="Y95" s="4">
        <f>IF(E95="",0,IF(AND(OR(Dashboard!$L$7="All",Q95=Dashboard!$L$7),OR(Dashboard!$T$7="All",N95=Dashboard!$T$7)),1,0))</f>
        <v>0</v>
      </c>
    </row>
    <row r="96" spans="1:25" ht="26.1" customHeight="1">
      <c r="A96" s="18"/>
      <c r="B96" s="18"/>
      <c r="C96" s="18"/>
      <c r="D96" s="18"/>
      <c r="E96" s="3"/>
      <c r="F96" s="3"/>
      <c r="G96" s="3"/>
      <c r="H96" s="3"/>
      <c r="I96" s="3"/>
      <c r="J96" s="3"/>
      <c r="K96" s="3"/>
      <c r="L96" s="3"/>
      <c r="M96" s="4" t="str">
        <f t="shared" si="4"/>
        <v/>
      </c>
      <c r="N96" s="4" t="str">
        <f>IF(M96="","",IFERROR(IF(AND(ISNUMBER('Scoring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Methodology'!$F$18,1)=0),IF(ISNUMBER(M96),IF(M96&lt;'Scoring Methodology'!$F$16,"Low",IF(M96&lt;'Scoring Methodology'!$F$17,"Moderate",IF(M96&lt;'Scoring Methodology'!$F$18,"High","Critical"))),"Invalid input"),"Invalid thresholds"),"Invalid thresholds"))</f>
        <v/>
      </c>
      <c r="O96" s="3"/>
      <c r="P96" s="3"/>
      <c r="Q96" s="3"/>
      <c r="R96" s="3"/>
      <c r="S96" s="3"/>
      <c r="T96" s="3"/>
      <c r="U96" s="3"/>
      <c r="V96" s="4" t="str">
        <f t="shared" si="5"/>
        <v/>
      </c>
      <c r="W96" s="4" t="str">
        <f>IF(V96="","",IFERROR(IF(AND(ISNUMBER('Scoring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Methodology'!$F$18,1)=0),IF(ISNUMBER(V96),IF(V96&lt;'Scoring Methodology'!$F$16,"Low",IF(V96&lt;'Scoring Methodology'!$F$17,"Moderate",IF(V96&lt;'Scoring Methodology'!$F$18,"High","Critical"))),"Invalid input"),"Invalid thresholds"),"Invalid thresholds"))</f>
        <v/>
      </c>
      <c r="X96" s="3"/>
      <c r="Y96" s="4">
        <f>IF(E96="",0,IF(AND(OR(Dashboard!$L$7="All",Q96=Dashboard!$L$7),OR(Dashboard!$T$7="All",N96=Dashboard!$T$7)),1,0))</f>
        <v>0</v>
      </c>
    </row>
    <row r="97" spans="1:25" ht="26.1" customHeight="1">
      <c r="A97" s="18"/>
      <c r="B97" s="18"/>
      <c r="C97" s="18"/>
      <c r="D97" s="18"/>
      <c r="E97" s="3"/>
      <c r="F97" s="3"/>
      <c r="G97" s="3"/>
      <c r="H97" s="3"/>
      <c r="I97" s="3"/>
      <c r="J97" s="3"/>
      <c r="K97" s="3"/>
      <c r="L97" s="3"/>
      <c r="M97" s="4" t="str">
        <f t="shared" si="4"/>
        <v/>
      </c>
      <c r="N97" s="4" t="str">
        <f>IF(M97="","",IFERROR(IF(AND(ISNUMBER('Scoring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Methodology'!$F$18,1)=0),IF(ISNUMBER(M97),IF(M97&lt;'Scoring Methodology'!$F$16,"Low",IF(M97&lt;'Scoring Methodology'!$F$17,"Moderate",IF(M97&lt;'Scoring Methodology'!$F$18,"High","Critical"))),"Invalid input"),"Invalid thresholds"),"Invalid thresholds"))</f>
        <v/>
      </c>
      <c r="O97" s="3"/>
      <c r="P97" s="3"/>
      <c r="Q97" s="3"/>
      <c r="R97" s="3"/>
      <c r="S97" s="3"/>
      <c r="T97" s="3"/>
      <c r="U97" s="3"/>
      <c r="V97" s="4" t="str">
        <f t="shared" si="5"/>
        <v/>
      </c>
      <c r="W97" s="4" t="str">
        <f>IF(V97="","",IFERROR(IF(AND(ISNUMBER('Scoring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Methodology'!$F$18,1)=0),IF(ISNUMBER(V97),IF(V97&lt;'Scoring Methodology'!$F$16,"Low",IF(V97&lt;'Scoring Methodology'!$F$17,"Moderate",IF(V97&lt;'Scoring Methodology'!$F$18,"High","Critical"))),"Invalid input"),"Invalid thresholds"),"Invalid thresholds"))</f>
        <v/>
      </c>
      <c r="X97" s="3"/>
      <c r="Y97" s="4">
        <f>IF(E97="",0,IF(AND(OR(Dashboard!$L$7="All",Q97=Dashboard!$L$7),OR(Dashboard!$T$7="All",N97=Dashboard!$T$7)),1,0))</f>
        <v>0</v>
      </c>
    </row>
    <row r="98" spans="1:25" ht="26.1" customHeight="1">
      <c r="A98" s="18"/>
      <c r="B98" s="18"/>
      <c r="C98" s="18"/>
      <c r="D98" s="18"/>
      <c r="E98" s="3"/>
      <c r="F98" s="3"/>
      <c r="G98" s="3"/>
      <c r="H98" s="3"/>
      <c r="I98" s="3"/>
      <c r="J98" s="3"/>
      <c r="K98" s="3"/>
      <c r="L98" s="3"/>
      <c r="M98" s="4" t="str">
        <f t="shared" si="4"/>
        <v/>
      </c>
      <c r="N98" s="4" t="str">
        <f>IF(M98="","",IFERROR(IF(AND(ISNUMBER('Scoring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Methodology'!$F$18,1)=0),IF(ISNUMBER(M98),IF(M98&lt;'Scoring Methodology'!$F$16,"Low",IF(M98&lt;'Scoring Methodology'!$F$17,"Moderate",IF(M98&lt;'Scoring Methodology'!$F$18,"High","Critical"))),"Invalid input"),"Invalid thresholds"),"Invalid thresholds"))</f>
        <v/>
      </c>
      <c r="O98" s="3"/>
      <c r="P98" s="3"/>
      <c r="Q98" s="3"/>
      <c r="R98" s="3"/>
      <c r="S98" s="3"/>
      <c r="T98" s="3"/>
      <c r="U98" s="3"/>
      <c r="V98" s="4" t="str">
        <f t="shared" si="5"/>
        <v/>
      </c>
      <c r="W98" s="4" t="str">
        <f>IF(V98="","",IFERROR(IF(AND(ISNUMBER('Scoring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Methodology'!$F$18,1)=0),IF(ISNUMBER(V98),IF(V98&lt;'Scoring Methodology'!$F$16,"Low",IF(V98&lt;'Scoring Methodology'!$F$17,"Moderate",IF(V98&lt;'Scoring Methodology'!$F$18,"High","Critical"))),"Invalid input"),"Invalid thresholds"),"Invalid thresholds"))</f>
        <v/>
      </c>
      <c r="X98" s="3"/>
      <c r="Y98" s="4">
        <f>IF(E98="",0,IF(AND(OR(Dashboard!$L$7="All",Q98=Dashboard!$L$7),OR(Dashboard!$T$7="All",N98=Dashboard!$T$7)),1,0))</f>
        <v>0</v>
      </c>
    </row>
    <row r="99" spans="1:25" ht="26.1" customHeight="1">
      <c r="A99" s="18"/>
      <c r="B99" s="18"/>
      <c r="C99" s="18"/>
      <c r="D99" s="18"/>
      <c r="E99" s="3"/>
      <c r="F99" s="3"/>
      <c r="G99" s="3"/>
      <c r="H99" s="3"/>
      <c r="I99" s="3"/>
      <c r="J99" s="3"/>
      <c r="K99" s="3"/>
      <c r="L99" s="3"/>
      <c r="M99" s="4" t="str">
        <f t="shared" si="4"/>
        <v/>
      </c>
      <c r="N99" s="4" t="str">
        <f>IF(M99="","",IFERROR(IF(AND(ISNUMBER('Scoring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Methodology'!$F$18,1)=0),IF(ISNUMBER(M99),IF(M99&lt;'Scoring Methodology'!$F$16,"Low",IF(M99&lt;'Scoring Methodology'!$F$17,"Moderate",IF(M99&lt;'Scoring Methodology'!$F$18,"High","Critical"))),"Invalid input"),"Invalid thresholds"),"Invalid thresholds"))</f>
        <v/>
      </c>
      <c r="O99" s="3"/>
      <c r="P99" s="3"/>
      <c r="Q99" s="3"/>
      <c r="R99" s="3"/>
      <c r="S99" s="3"/>
      <c r="T99" s="3"/>
      <c r="U99" s="3"/>
      <c r="V99" s="4" t="str">
        <f t="shared" si="5"/>
        <v/>
      </c>
      <c r="W99" s="4" t="str">
        <f>IF(V99="","",IFERROR(IF(AND(ISNUMBER('Scoring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Methodology'!$F$18,1)=0),IF(ISNUMBER(V99),IF(V99&lt;'Scoring Methodology'!$F$16,"Low",IF(V99&lt;'Scoring Methodology'!$F$17,"Moderate",IF(V99&lt;'Scoring Methodology'!$F$18,"High","Critical"))),"Invalid input"),"Invalid thresholds"),"Invalid thresholds"))</f>
        <v/>
      </c>
      <c r="X99" s="3"/>
      <c r="Y99" s="4">
        <f>IF(E99="",0,IF(AND(OR(Dashboard!$L$7="All",Q99=Dashboard!$L$7),OR(Dashboard!$T$7="All",N99=Dashboard!$T$7)),1,0))</f>
        <v>0</v>
      </c>
    </row>
    <row r="100" spans="1:25" ht="26.1" customHeight="1">
      <c r="A100" s="18"/>
      <c r="B100" s="18"/>
      <c r="C100" s="18"/>
      <c r="D100" s="18"/>
      <c r="E100" s="3"/>
      <c r="F100" s="3"/>
      <c r="G100" s="3"/>
      <c r="H100" s="3"/>
      <c r="I100" s="3"/>
      <c r="J100" s="3"/>
      <c r="K100" s="3"/>
      <c r="L100" s="3"/>
      <c r="M100" s="4" t="str">
        <f t="shared" si="4"/>
        <v/>
      </c>
      <c r="N100" s="4" t="str">
        <f>IF(M100="","",IFERROR(IF(AND(ISNUMBER('Scoring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Methodology'!$F$18,1)=0),IF(ISNUMBER(M100),IF(M100&lt;'Scoring Methodology'!$F$16,"Low",IF(M100&lt;'Scoring Methodology'!$F$17,"Moderate",IF(M100&lt;'Scoring Methodology'!$F$18,"High","Critical"))),"Invalid input"),"Invalid thresholds"),"Invalid thresholds"))</f>
        <v/>
      </c>
      <c r="O100" s="3"/>
      <c r="P100" s="3"/>
      <c r="Q100" s="3"/>
      <c r="R100" s="3"/>
      <c r="S100" s="3"/>
      <c r="T100" s="3"/>
      <c r="U100" s="3"/>
      <c r="V100" s="4" t="str">
        <f t="shared" si="5"/>
        <v/>
      </c>
      <c r="W100" s="4" t="str">
        <f>IF(V100="","",IFERROR(IF(AND(ISNUMBER('Scoring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Methodology'!$F$18,1)=0),IF(ISNUMBER(V100),IF(V100&lt;'Scoring Methodology'!$F$16,"Low",IF(V100&lt;'Scoring Methodology'!$F$17,"Moderate",IF(V100&lt;'Scoring Methodology'!$F$18,"High","Critical"))),"Invalid input"),"Invalid thresholds"),"Invalid thresholds"))</f>
        <v/>
      </c>
      <c r="X100" s="3"/>
      <c r="Y100" s="4">
        <f>IF(E100="",0,IF(AND(OR(Dashboard!$L$7="All",Q100=Dashboard!$L$7),OR(Dashboard!$T$7="All",N100=Dashboard!$T$7)),1,0))</f>
        <v>0</v>
      </c>
    </row>
    <row r="101" spans="1:25" ht="26.1" customHeight="1">
      <c r="A101" s="18"/>
      <c r="B101" s="18"/>
      <c r="C101" s="18"/>
      <c r="D101" s="18"/>
      <c r="E101" s="3"/>
      <c r="F101" s="3"/>
      <c r="G101" s="3"/>
      <c r="H101" s="3"/>
      <c r="I101" s="3"/>
      <c r="J101" s="3"/>
      <c r="K101" s="3"/>
      <c r="L101" s="3"/>
      <c r="M101" s="4" t="str">
        <f t="shared" si="4"/>
        <v/>
      </c>
      <c r="N101" s="4" t="str">
        <f>IF(M101="","",IFERROR(IF(AND(ISNUMBER('Scoring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Methodology'!$F$18,1)=0),IF(ISNUMBER(M101),IF(M101&lt;'Scoring Methodology'!$F$16,"Low",IF(M101&lt;'Scoring Methodology'!$F$17,"Moderate",IF(M101&lt;'Scoring Methodology'!$F$18,"High","Critical"))),"Invalid input"),"Invalid thresholds"),"Invalid thresholds"))</f>
        <v/>
      </c>
      <c r="O101" s="3"/>
      <c r="P101" s="3"/>
      <c r="Q101" s="3"/>
      <c r="R101" s="3"/>
      <c r="S101" s="3"/>
      <c r="T101" s="3"/>
      <c r="U101" s="3"/>
      <c r="V101" s="4" t="str">
        <f t="shared" si="5"/>
        <v/>
      </c>
      <c r="W101" s="4" t="str">
        <f>IF(V101="","",IFERROR(IF(AND(ISNUMBER('Scoring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Methodology'!$F$18,1)=0),IF(ISNUMBER(V101),IF(V101&lt;'Scoring Methodology'!$F$16,"Low",IF(V101&lt;'Scoring Methodology'!$F$17,"Moderate",IF(V101&lt;'Scoring Methodology'!$F$18,"High","Critical"))),"Invalid input"),"Invalid thresholds"),"Invalid thresholds"))</f>
        <v/>
      </c>
      <c r="X101" s="3"/>
      <c r="Y101" s="4">
        <f>IF(E101="",0,IF(AND(OR(Dashboard!$L$7="All",Q101=Dashboard!$L$7),OR(Dashboard!$T$7="All",N101=Dashboard!$T$7)),1,0))</f>
        <v>0</v>
      </c>
    </row>
    <row r="102" spans="1:25" ht="26.1" customHeight="1">
      <c r="A102" s="18"/>
      <c r="B102" s="18"/>
      <c r="C102" s="18"/>
      <c r="D102" s="18"/>
      <c r="E102" s="3"/>
      <c r="F102" s="3"/>
      <c r="G102" s="3"/>
      <c r="H102" s="3"/>
      <c r="I102" s="3"/>
      <c r="J102" s="3"/>
      <c r="K102" s="3"/>
      <c r="L102" s="3"/>
      <c r="M102" s="4" t="str">
        <f t="shared" si="4"/>
        <v/>
      </c>
      <c r="N102" s="4" t="str">
        <f>IF(M102="","",IFERROR(IF(AND(ISNUMBER('Scoring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Methodology'!$F$18,1)=0),IF(ISNUMBER(M102),IF(M102&lt;'Scoring Methodology'!$F$16,"Low",IF(M102&lt;'Scoring Methodology'!$F$17,"Moderate",IF(M102&lt;'Scoring Methodology'!$F$18,"High","Critical"))),"Invalid input"),"Invalid thresholds"),"Invalid thresholds"))</f>
        <v/>
      </c>
      <c r="O102" s="3"/>
      <c r="P102" s="3"/>
      <c r="Q102" s="3"/>
      <c r="R102" s="3"/>
      <c r="S102" s="3"/>
      <c r="T102" s="3"/>
      <c r="U102" s="3"/>
      <c r="V102" s="4" t="str">
        <f t="shared" si="5"/>
        <v/>
      </c>
      <c r="W102" s="4" t="str">
        <f>IF(V102="","",IFERROR(IF(AND(ISNUMBER('Scoring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Methodology'!$F$18,1)=0),IF(ISNUMBER(V102),IF(V102&lt;'Scoring Methodology'!$F$16,"Low",IF(V102&lt;'Scoring Methodology'!$F$17,"Moderate",IF(V102&lt;'Scoring Methodology'!$F$18,"High","Critical"))),"Invalid input"),"Invalid thresholds"),"Invalid thresholds"))</f>
        <v/>
      </c>
      <c r="X102" s="3"/>
      <c r="Y102" s="4">
        <f>IF(E102="",0,IF(AND(OR(Dashboard!$L$7="All",Q102=Dashboard!$L$7),OR(Dashboard!$T$7="All",N102=Dashboard!$T$7)),1,0))</f>
        <v>0</v>
      </c>
    </row>
    <row r="103" spans="1:25" ht="26.1" customHeight="1">
      <c r="A103" s="18"/>
      <c r="B103" s="18"/>
      <c r="C103" s="18"/>
      <c r="D103" s="18"/>
      <c r="E103" s="3"/>
      <c r="F103" s="3"/>
      <c r="G103" s="3"/>
      <c r="H103" s="3"/>
      <c r="I103" s="3"/>
      <c r="J103" s="3"/>
      <c r="K103" s="3"/>
      <c r="L103" s="3"/>
      <c r="M103" s="4" t="str">
        <f t="shared" ref="M103:M106" si="6">IF(E103="","",IF(OR(K103="",L103=""),"",IF(AND(ISNUMBER(K103),ISNUMBER(L103),K103&gt;=1,K103&lt;=5,L103&gt;=1,L103&lt;=5,MOD(K103,1)=0,MOD(L103,1)=0),K103*L103,"Invalid input")))</f>
        <v/>
      </c>
      <c r="N103" s="4" t="str">
        <f>IF(M103="","",IFERROR(IF(AND(ISNUMBER('Scoring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Methodology'!$F$18,1)=0),IF(ISNUMBER(M103),IF(M103&lt;'Scoring Methodology'!$F$16,"Low",IF(M103&lt;'Scoring Methodology'!$F$17,"Moderate",IF(M103&lt;'Scoring Methodology'!$F$18,"High","Critical"))),"Invalid input"),"Invalid thresholds"),"Invalid thresholds"))</f>
        <v/>
      </c>
      <c r="O103" s="3"/>
      <c r="P103" s="3"/>
      <c r="Q103" s="3"/>
      <c r="R103" s="3"/>
      <c r="S103" s="3"/>
      <c r="T103" s="3"/>
      <c r="U103" s="3"/>
      <c r="V103" s="4" t="str">
        <f t="shared" ref="V103:V106" si="7">IF(E103="","",IF(OR(T103="",U103=""),"",IF(AND(ISNUMBER(T103),ISNUMBER(U103),T103&gt;=1,T103&lt;=5,U103&gt;=1,U103&lt;=5,MOD(T103,1)=0,MOD(U103,1)=0),T103*U103,"Invalid input")))</f>
        <v/>
      </c>
      <c r="W103" s="4" t="str">
        <f>IF(V103="","",IFERROR(IF(AND(ISNUMBER('Scoring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Methodology'!$F$18,1)=0),IF(ISNUMBER(V103),IF(V103&lt;'Scoring Methodology'!$F$16,"Low",IF(V103&lt;'Scoring Methodology'!$F$17,"Moderate",IF(V103&lt;'Scoring Methodology'!$F$18,"High","Critical"))),"Invalid input"),"Invalid thresholds"),"Invalid thresholds"))</f>
        <v/>
      </c>
      <c r="X103" s="3"/>
      <c r="Y103" s="4">
        <f>IF(E103="",0,IF(AND(OR(Dashboard!$L$7="All",Q103=Dashboard!$L$7),OR(Dashboard!$T$7="All",N103=Dashboard!$T$7)),1,0))</f>
        <v>0</v>
      </c>
    </row>
    <row r="104" spans="1:25" ht="26.1" customHeight="1">
      <c r="A104" s="18"/>
      <c r="B104" s="18"/>
      <c r="C104" s="18"/>
      <c r="D104" s="18"/>
      <c r="E104" s="3"/>
      <c r="F104" s="3"/>
      <c r="G104" s="3"/>
      <c r="H104" s="3"/>
      <c r="I104" s="3"/>
      <c r="J104" s="3"/>
      <c r="K104" s="3"/>
      <c r="L104" s="3"/>
      <c r="M104" s="4" t="str">
        <f t="shared" si="6"/>
        <v/>
      </c>
      <c r="N104" s="4" t="str">
        <f>IF(M104="","",IFERROR(IF(AND(ISNUMBER('Scoring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Methodology'!$F$18,1)=0),IF(ISNUMBER(M104),IF(M104&lt;'Scoring Methodology'!$F$16,"Low",IF(M104&lt;'Scoring Methodology'!$F$17,"Moderate",IF(M104&lt;'Scoring Methodology'!$F$18,"High","Critical"))),"Invalid input"),"Invalid thresholds"),"Invalid thresholds"))</f>
        <v/>
      </c>
      <c r="O104" s="3"/>
      <c r="P104" s="3"/>
      <c r="Q104" s="3"/>
      <c r="R104" s="3"/>
      <c r="S104" s="3"/>
      <c r="T104" s="3"/>
      <c r="U104" s="3"/>
      <c r="V104" s="4" t="str">
        <f t="shared" si="7"/>
        <v/>
      </c>
      <c r="W104" s="4" t="str">
        <f>IF(V104="","",IFERROR(IF(AND(ISNUMBER('Scoring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Methodology'!$F$18,1)=0),IF(ISNUMBER(V104),IF(V104&lt;'Scoring Methodology'!$F$16,"Low",IF(V104&lt;'Scoring Methodology'!$F$17,"Moderate",IF(V104&lt;'Scoring Methodology'!$F$18,"High","Critical"))),"Invalid input"),"Invalid thresholds"),"Invalid thresholds"))</f>
        <v/>
      </c>
      <c r="X104" s="3"/>
      <c r="Y104" s="4">
        <f>IF(E104="",0,IF(AND(OR(Dashboard!$L$7="All",Q104=Dashboard!$L$7),OR(Dashboard!$T$7="All",N104=Dashboard!$T$7)),1,0))</f>
        <v>0</v>
      </c>
    </row>
    <row r="105" spans="1:25" ht="26.1" customHeight="1">
      <c r="A105" s="18"/>
      <c r="B105" s="18"/>
      <c r="C105" s="18"/>
      <c r="D105" s="18"/>
      <c r="E105" s="3"/>
      <c r="F105" s="3"/>
      <c r="G105" s="3"/>
      <c r="H105" s="3"/>
      <c r="I105" s="3"/>
      <c r="J105" s="3"/>
      <c r="K105" s="3"/>
      <c r="L105" s="3"/>
      <c r="M105" s="4" t="str">
        <f t="shared" si="6"/>
        <v/>
      </c>
      <c r="N105" s="4" t="str">
        <f>IF(M105="","",IFERROR(IF(AND(ISNUMBER('Scoring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Methodology'!$F$18,1)=0),IF(ISNUMBER(M105),IF(M105&lt;'Scoring Methodology'!$F$16,"Low",IF(M105&lt;'Scoring Methodology'!$F$17,"Moderate",IF(M105&lt;'Scoring Methodology'!$F$18,"High","Critical"))),"Invalid input"),"Invalid thresholds"),"Invalid thresholds"))</f>
        <v/>
      </c>
      <c r="O105" s="3"/>
      <c r="P105" s="3"/>
      <c r="Q105" s="3"/>
      <c r="R105" s="3"/>
      <c r="S105" s="3"/>
      <c r="T105" s="3"/>
      <c r="U105" s="3"/>
      <c r="V105" s="4" t="str">
        <f t="shared" si="7"/>
        <v/>
      </c>
      <c r="W105" s="4" t="str">
        <f>IF(V105="","",IFERROR(IF(AND(ISNUMBER('Scoring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Methodology'!$F$18,1)=0),IF(ISNUMBER(V105),IF(V105&lt;'Scoring Methodology'!$F$16,"Low",IF(V105&lt;'Scoring Methodology'!$F$17,"Moderate",IF(V105&lt;'Scoring Methodology'!$F$18,"High","Critical"))),"Invalid input"),"Invalid thresholds"),"Invalid thresholds"))</f>
        <v/>
      </c>
      <c r="X105" s="3"/>
      <c r="Y105" s="4">
        <f>IF(E105="",0,IF(AND(OR(Dashboard!$L$7="All",Q105=Dashboard!$L$7),OR(Dashboard!$T$7="All",N105=Dashboard!$T$7)),1,0))</f>
        <v>0</v>
      </c>
    </row>
    <row r="106" spans="1:25" ht="26.1" customHeight="1">
      <c r="A106" s="18"/>
      <c r="B106" s="18"/>
      <c r="C106" s="18"/>
      <c r="D106" s="18"/>
      <c r="E106" s="3"/>
      <c r="F106" s="3"/>
      <c r="G106" s="3"/>
      <c r="H106" s="3"/>
      <c r="I106" s="3"/>
      <c r="J106" s="3"/>
      <c r="K106" s="3"/>
      <c r="L106" s="3"/>
      <c r="M106" s="4" t="str">
        <f t="shared" si="6"/>
        <v/>
      </c>
      <c r="N106" s="4" t="str">
        <f>IF(M106="","",IFERROR(IF(AND(ISNUMBER('Scoring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Methodology'!$F$18,1)=0),IF(ISNUMBER(M106),IF(M106&lt;'Scoring Methodology'!$F$16,"Low",IF(M106&lt;'Scoring Methodology'!$F$17,"Moderate",IF(M106&lt;'Scoring Methodology'!$F$18,"High","Critical"))),"Invalid input"),"Invalid thresholds"),"Invalid thresholds"))</f>
        <v/>
      </c>
      <c r="O106" s="3"/>
      <c r="P106" s="3"/>
      <c r="Q106" s="3"/>
      <c r="R106" s="3"/>
      <c r="S106" s="3"/>
      <c r="T106" s="3"/>
      <c r="U106" s="3"/>
      <c r="V106" s="4" t="str">
        <f t="shared" si="7"/>
        <v/>
      </c>
      <c r="W106" s="4" t="str">
        <f>IF(V106="","",IFERROR(IF(AND(ISNUMBER('Scoring Methodology'!$F$16),ISNUMBER('Scoring Methodology'!$F$17),ISNUMBER('Scoring Methodology'!$F$18),'Scoring Methodology'!$F$16&gt;=2,'Scoring Methodology'!$F$16&lt;'Scoring Methodology'!$F$17,'Scoring Methodology'!$F$17&lt;'Scoring Methodology'!$F$18,'Scoring Methodology'!$F$18&lt;=25,MOD('Scoring Methodology'!$F$16,1)=0,MOD('Scoring Methodology'!$F$17,1)=0,MOD('Scoring Methodology'!$F$18,1)=0),IF(ISNUMBER(V106),IF(V106&lt;'Scoring Methodology'!$F$16,"Low",IF(V106&lt;'Scoring Methodology'!$F$17,"Moderate",IF(V106&lt;'Scoring Methodology'!$F$18,"High","Critical"))),"Invalid input"),"Invalid thresholds"),"Invalid thresholds"))</f>
        <v/>
      </c>
      <c r="X106" s="3"/>
      <c r="Y106" s="4">
        <f>IF(E106="",0,IF(AND(OR(Dashboard!$L$7="All",Q106=Dashboard!$L$7),OR(Dashboard!$T$7="All",N106=Dashboard!$T$7)),1,0))</f>
        <v>0</v>
      </c>
    </row>
    <row r="107" spans="1:25">
      <c r="A107" s="18"/>
      <c r="B107" s="18"/>
      <c r="C107" s="18"/>
      <c r="D107" s="18"/>
    </row>
    <row r="108" spans="1:25">
      <c r="A108" s="18"/>
      <c r="B108" s="18"/>
      <c r="C108" s="18"/>
      <c r="D108" s="18"/>
    </row>
    <row r="109" spans="1:25">
      <c r="A109" s="18"/>
      <c r="B109" s="18"/>
      <c r="C109" s="18"/>
      <c r="D109" s="18"/>
    </row>
    <row r="110" spans="1:25">
      <c r="A110" s="18"/>
      <c r="B110" s="18"/>
      <c r="C110" s="18"/>
      <c r="D110" s="18"/>
    </row>
  </sheetData>
  <mergeCells count="1">
    <mergeCell ref="E5:Y5"/>
  </mergeCells>
  <phoneticPr fontId="36" type="noConversion"/>
  <conditionalFormatting sqref="E7:E106">
    <cfRule type="expression" dxfId="27" priority="9">
      <formula>AND(E7&lt;&gt;"",COUNTIFS($E$7:$E$106,E7)&gt;1)</formula>
    </cfRule>
  </conditionalFormatting>
  <conditionalFormatting sqref="M7:N106">
    <cfRule type="expression" dxfId="26" priority="1">
      <formula>$N7="Low"</formula>
    </cfRule>
    <cfRule type="expression" dxfId="25" priority="2">
      <formula>$N7="Moderate"</formula>
    </cfRule>
    <cfRule type="expression" dxfId="24" priority="3">
      <formula>$N7="High"</formula>
    </cfRule>
    <cfRule type="expression" dxfId="23" priority="4">
      <formula>$N7="Critical"</formula>
    </cfRule>
  </conditionalFormatting>
  <conditionalFormatting sqref="Q7:Q106">
    <cfRule type="cellIs" dxfId="22" priority="10" operator="equal">
      <formula>"Pending validation"</formula>
    </cfRule>
    <cfRule type="cellIs" dxfId="21" priority="11" operator="equal">
      <formula>"Validated"</formula>
    </cfRule>
    <cfRule type="cellIs" dxfId="20" priority="12" operator="equal">
      <formula>"Rejected"</formula>
    </cfRule>
  </conditionalFormatting>
  <conditionalFormatting sqref="V7:W106">
    <cfRule type="expression" dxfId="19" priority="5">
      <formula>$W7="Low"</formula>
    </cfRule>
    <cfRule type="expression" dxfId="18" priority="6">
      <formula>$W7="Moderate"</formula>
    </cfRule>
    <cfRule type="expression" dxfId="17" priority="7">
      <formula>$W7="High"</formula>
    </cfRule>
    <cfRule type="expression" dxfId="16" priority="8">
      <formula>$W7="Critical"</formula>
    </cfRule>
  </conditionalFormatting>
  <dataValidations count="5">
    <dataValidation type="list" allowBlank="1" showErrorMessage="1" errorTitle="Select an allowed option" error="Choose a dropdown value or leave an unknown input blank." sqref="T7:U106 K7:L106" xr:uid="{00000000-0002-0000-0100-000000000000}">
      <formula1>"1,2,3,4,5"</formula1>
    </dataValidation>
    <dataValidation type="list" allowBlank="1" showErrorMessage="1" errorTitle="Select an allowed option" error="Choose a dropdown value or leave an unknown input blank." sqref="J7:J106" xr:uid="{00000000-0002-0000-0100-000001000000}">
      <formula1>"Identity and access,Data protection,Operations,Third party,Governance,Other"</formula1>
    </dataValidation>
    <dataValidation type="list" allowBlank="1" showErrorMessage="1" errorTitle="Select an allowed option" error="Choose a dropdown value or leave an unknown input blank." sqref="P7:P106" xr:uid="{00000000-0002-0000-0100-000002000000}">
      <formula1>"Mitigate,Accept,Avoid,Transfer"</formula1>
    </dataValidation>
    <dataValidation type="list" allowBlank="1" showErrorMessage="1" errorTitle="Select an allowed option" error="Choose a dropdown value or leave an unknown input blank." sqref="Q7:Q106" xr:uid="{00000000-0002-0000-0100-000003000000}">
      <formula1>"Pending validation,Validated,Rejected"</formula1>
    </dataValidation>
    <dataValidation type="list" allowBlank="1" showErrorMessage="1" errorTitle="Select an allowed option" error="Choose a dropdown value or leave an unknown input blank." sqref="R7:R106" xr:uid="{00000000-0002-0000-0100-000004000000}">
      <formula1>"Proposed,Open,In progress,Closed"</formula1>
    </dataValidation>
  </dataValidation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02F47"/>
  </sheetPr>
  <dimension ref="A1:P110"/>
  <sheetViews>
    <sheetView showGridLines="0" zoomScale="85" zoomScaleNormal="85" workbookViewId="0">
      <pane xSplit="6" ySplit="6" topLeftCell="G7" activePane="bottomRight" state="frozen"/>
      <selection pane="topRight"/>
      <selection pane="bottomLeft"/>
      <selection pane="bottomRight"/>
    </sheetView>
  </sheetViews>
  <sheetFormatPr defaultRowHeight="14.25"/>
  <cols>
    <col min="1" max="4" width="7.25" customWidth="1"/>
    <col min="5" max="5" width="9.875" bestFit="1" customWidth="1"/>
    <col min="6" max="6" width="7.125" bestFit="1" customWidth="1"/>
    <col min="7" max="7" width="41.5" bestFit="1" customWidth="1"/>
    <col min="8" max="8" width="47.875" bestFit="1" customWidth="1"/>
    <col min="9" max="9" width="47.625" bestFit="1" customWidth="1"/>
    <col min="10" max="11" width="21" customWidth="1"/>
    <col min="12" max="12" width="12.625" bestFit="1" customWidth="1"/>
    <col min="13" max="13" width="9.125" bestFit="1" customWidth="1"/>
    <col min="14" max="15" width="16" bestFit="1" customWidth="1"/>
    <col min="16" max="16" width="47.125" bestFit="1" customWidth="1"/>
  </cols>
  <sheetData>
    <row r="1" spans="1:16" ht="28.5" customHeight="1">
      <c r="A1" s="18"/>
      <c r="B1" s="18"/>
      <c r="C1" s="18"/>
      <c r="D1" s="18"/>
      <c r="E1" s="14"/>
      <c r="F1" s="14"/>
      <c r="G1" s="14"/>
      <c r="H1" s="14"/>
      <c r="I1" s="14"/>
      <c r="J1" s="14"/>
      <c r="K1" s="14"/>
      <c r="L1" s="14"/>
      <c r="M1" s="14"/>
      <c r="N1" s="14"/>
      <c r="O1" s="14"/>
      <c r="P1" s="14"/>
    </row>
    <row r="2" spans="1:16" ht="28.5" customHeight="1">
      <c r="A2" s="18"/>
      <c r="B2" s="18"/>
      <c r="C2" s="18"/>
      <c r="D2" s="18"/>
      <c r="E2" s="14"/>
      <c r="F2" s="14"/>
      <c r="G2" s="14"/>
      <c r="H2" s="14"/>
      <c r="I2" s="14"/>
      <c r="J2" s="14"/>
      <c r="K2" s="14"/>
      <c r="L2" s="14"/>
      <c r="M2" s="14"/>
      <c r="N2" s="14"/>
      <c r="O2" s="14"/>
      <c r="P2" s="14"/>
    </row>
    <row r="3" spans="1:16" ht="15" customHeight="1">
      <c r="A3" s="18"/>
      <c r="B3" s="18"/>
      <c r="C3" s="18"/>
      <c r="D3" s="18"/>
      <c r="E3" s="15"/>
      <c r="F3" s="15"/>
      <c r="G3" s="15"/>
      <c r="H3" s="15"/>
      <c r="I3" s="15"/>
      <c r="J3" s="15"/>
      <c r="K3" s="15"/>
      <c r="L3" s="15"/>
      <c r="M3" s="15"/>
      <c r="N3" s="15"/>
      <c r="O3" s="15"/>
      <c r="P3" s="15"/>
    </row>
    <row r="4" spans="1:16" ht="15" customHeight="1">
      <c r="A4" s="18"/>
      <c r="B4" s="18"/>
      <c r="C4" s="18"/>
      <c r="D4" s="18"/>
      <c r="E4" s="15"/>
      <c r="F4" s="15"/>
      <c r="G4" s="15"/>
      <c r="H4" s="15"/>
      <c r="I4" s="15"/>
      <c r="J4" s="15"/>
      <c r="K4" s="15"/>
      <c r="L4" s="15"/>
      <c r="M4" s="15"/>
      <c r="N4" s="15"/>
      <c r="O4" s="15"/>
      <c r="P4" s="15"/>
    </row>
    <row r="5" spans="1:16" ht="21" customHeight="1">
      <c r="A5" s="18"/>
      <c r="B5" s="18"/>
      <c r="C5" s="18"/>
      <c r="D5" s="18"/>
      <c r="E5" s="28" t="s">
        <v>62</v>
      </c>
      <c r="F5" s="28"/>
      <c r="G5" s="28"/>
      <c r="H5" s="28"/>
      <c r="I5" s="28"/>
      <c r="J5" s="28"/>
      <c r="K5" s="28"/>
      <c r="L5" s="28"/>
      <c r="M5" s="28"/>
      <c r="N5" s="28"/>
      <c r="O5" s="28"/>
      <c r="P5" s="28"/>
    </row>
    <row r="6" spans="1:16" ht="45.95" customHeight="1">
      <c r="A6" s="18"/>
      <c r="B6" s="18"/>
      <c r="C6" s="18"/>
      <c r="D6" s="18"/>
      <c r="E6" s="2" t="s">
        <v>63</v>
      </c>
      <c r="F6" s="2" t="s">
        <v>28</v>
      </c>
      <c r="G6" s="2" t="s">
        <v>64</v>
      </c>
      <c r="H6" s="2" t="s">
        <v>65</v>
      </c>
      <c r="I6" s="2" t="s">
        <v>66</v>
      </c>
      <c r="J6" s="2" t="s">
        <v>67</v>
      </c>
      <c r="K6" s="2" t="s">
        <v>68</v>
      </c>
      <c r="L6" s="2" t="s">
        <v>42</v>
      </c>
      <c r="M6" s="2" t="s">
        <v>69</v>
      </c>
      <c r="N6" s="2" t="s">
        <v>70</v>
      </c>
      <c r="O6" s="2" t="s">
        <v>40</v>
      </c>
      <c r="P6" s="2" t="s">
        <v>71</v>
      </c>
    </row>
    <row r="7" spans="1:16" ht="128.25">
      <c r="A7" s="18"/>
      <c r="B7" s="18"/>
      <c r="C7" s="18"/>
      <c r="D7" s="18"/>
      <c r="E7" s="3" t="s">
        <v>72</v>
      </c>
      <c r="F7" s="3" t="s">
        <v>49</v>
      </c>
      <c r="G7" s="20" t="s">
        <v>73</v>
      </c>
      <c r="H7" s="20" t="s">
        <v>228</v>
      </c>
      <c r="I7" s="20" t="s">
        <v>229</v>
      </c>
      <c r="J7" s="20" t="s">
        <v>74</v>
      </c>
      <c r="K7" s="20" t="s">
        <v>74</v>
      </c>
      <c r="L7" s="20" t="s">
        <v>75</v>
      </c>
      <c r="M7" s="20"/>
      <c r="N7" s="21"/>
      <c r="O7" s="20" t="s">
        <v>56</v>
      </c>
      <c r="P7" s="20" t="s">
        <v>76</v>
      </c>
    </row>
    <row r="8" spans="1:16" ht="57">
      <c r="A8" s="18"/>
      <c r="B8" s="18"/>
      <c r="C8" s="18"/>
      <c r="D8" s="18"/>
      <c r="E8" s="3" t="s">
        <v>77</v>
      </c>
      <c r="F8" s="3" t="s">
        <v>58</v>
      </c>
      <c r="G8" s="23" t="s">
        <v>78</v>
      </c>
      <c r="H8" s="20" t="s">
        <v>79</v>
      </c>
      <c r="I8" s="20" t="s">
        <v>80</v>
      </c>
      <c r="J8" s="20" t="s">
        <v>74</v>
      </c>
      <c r="K8" s="20" t="s">
        <v>74</v>
      </c>
      <c r="L8" s="20" t="s">
        <v>81</v>
      </c>
      <c r="M8" s="20"/>
      <c r="N8" s="21"/>
      <c r="O8" s="20" t="s">
        <v>56</v>
      </c>
      <c r="P8" s="20" t="s">
        <v>82</v>
      </c>
    </row>
    <row r="9" spans="1:16" ht="128.25">
      <c r="A9" s="18"/>
      <c r="B9" s="18"/>
      <c r="C9" s="18"/>
      <c r="D9" s="18"/>
      <c r="E9" s="3" t="s">
        <v>191</v>
      </c>
      <c r="F9" s="3" t="s">
        <v>185</v>
      </c>
      <c r="G9" s="24" t="s">
        <v>192</v>
      </c>
      <c r="H9" s="3" t="s">
        <v>193</v>
      </c>
      <c r="I9" s="24" t="s">
        <v>194</v>
      </c>
      <c r="J9" s="3" t="s">
        <v>74</v>
      </c>
      <c r="K9" s="3" t="s">
        <v>74</v>
      </c>
      <c r="L9" s="20" t="s">
        <v>195</v>
      </c>
      <c r="M9" s="3"/>
      <c r="N9" s="5"/>
      <c r="O9" s="24" t="s">
        <v>56</v>
      </c>
      <c r="P9" s="24" t="s">
        <v>196</v>
      </c>
    </row>
    <row r="10" spans="1:16" ht="128.25">
      <c r="A10" s="18"/>
      <c r="B10" s="18"/>
      <c r="C10" s="18"/>
      <c r="D10" s="18"/>
      <c r="E10" s="3" t="s">
        <v>212</v>
      </c>
      <c r="F10" s="3" t="s">
        <v>203</v>
      </c>
      <c r="G10" s="3" t="s">
        <v>213</v>
      </c>
      <c r="H10" s="3" t="s">
        <v>214</v>
      </c>
      <c r="I10" s="3" t="s">
        <v>215</v>
      </c>
      <c r="J10" s="3" t="s">
        <v>74</v>
      </c>
      <c r="K10" s="3" t="s">
        <v>74</v>
      </c>
      <c r="L10" s="3" t="s">
        <v>208</v>
      </c>
      <c r="M10" s="3"/>
      <c r="N10" s="5"/>
      <c r="O10" s="3" t="s">
        <v>56</v>
      </c>
      <c r="P10" s="3" t="s">
        <v>216</v>
      </c>
    </row>
    <row r="11" spans="1:16" ht="26.1" customHeight="1">
      <c r="A11" s="18"/>
      <c r="B11" s="18"/>
      <c r="C11" s="18"/>
      <c r="D11" s="18"/>
      <c r="E11" s="3"/>
      <c r="F11" s="3"/>
      <c r="G11" s="3"/>
      <c r="H11" s="3"/>
      <c r="I11" s="3"/>
      <c r="J11" s="3"/>
      <c r="K11" s="3"/>
      <c r="L11" s="3"/>
      <c r="M11" s="3"/>
      <c r="N11" s="5"/>
      <c r="O11" s="3"/>
      <c r="P11" s="3"/>
    </row>
    <row r="12" spans="1:16" ht="26.1" customHeight="1">
      <c r="A12" s="18"/>
      <c r="B12" s="18"/>
      <c r="C12" s="18"/>
      <c r="D12" s="18"/>
      <c r="E12" s="3"/>
      <c r="F12" s="3"/>
      <c r="G12" s="3"/>
      <c r="H12" s="3"/>
      <c r="I12" s="3"/>
      <c r="J12" s="3"/>
      <c r="K12" s="3"/>
      <c r="L12" s="3"/>
      <c r="M12" s="3"/>
      <c r="N12" s="5"/>
      <c r="O12" s="3"/>
      <c r="P12" s="3"/>
    </row>
    <row r="13" spans="1:16" ht="26.1" customHeight="1">
      <c r="A13" s="18"/>
      <c r="B13" s="18"/>
      <c r="C13" s="18"/>
      <c r="D13" s="18"/>
      <c r="E13" s="3"/>
      <c r="F13" s="3"/>
      <c r="G13" s="3"/>
      <c r="H13" s="3"/>
      <c r="I13" s="3"/>
      <c r="J13" s="3"/>
      <c r="K13" s="3"/>
      <c r="L13" s="3"/>
      <c r="M13" s="3"/>
      <c r="N13" s="5"/>
      <c r="O13" s="3"/>
      <c r="P13" s="3"/>
    </row>
    <row r="14" spans="1:16" ht="26.1" customHeight="1">
      <c r="A14" s="18"/>
      <c r="B14" s="18"/>
      <c r="C14" s="18"/>
      <c r="D14" s="18"/>
      <c r="E14" s="3"/>
      <c r="F14" s="3"/>
      <c r="G14" s="3"/>
      <c r="H14" s="3"/>
      <c r="I14" s="3"/>
      <c r="J14" s="3"/>
      <c r="K14" s="3"/>
      <c r="L14" s="3"/>
      <c r="M14" s="3"/>
      <c r="N14" s="5"/>
      <c r="O14" s="3"/>
      <c r="P14" s="3"/>
    </row>
    <row r="15" spans="1:16" ht="26.1" customHeight="1">
      <c r="A15" s="18"/>
      <c r="B15" s="18"/>
      <c r="C15" s="18"/>
      <c r="D15" s="18"/>
      <c r="E15" s="3"/>
      <c r="F15" s="3"/>
      <c r="G15" s="3"/>
      <c r="H15" s="3"/>
      <c r="I15" s="3"/>
      <c r="J15" s="3"/>
      <c r="K15" s="3"/>
      <c r="L15" s="3"/>
      <c r="M15" s="3"/>
      <c r="N15" s="5"/>
      <c r="O15" s="3"/>
      <c r="P15" s="3"/>
    </row>
    <row r="16" spans="1:16" ht="26.1" customHeight="1">
      <c r="A16" s="18"/>
      <c r="B16" s="18"/>
      <c r="C16" s="18"/>
      <c r="D16" s="18"/>
      <c r="E16" s="3"/>
      <c r="F16" s="3"/>
      <c r="G16" s="3"/>
      <c r="H16" s="3"/>
      <c r="I16" s="3"/>
      <c r="J16" s="3"/>
      <c r="K16" s="3"/>
      <c r="L16" s="3"/>
      <c r="M16" s="3"/>
      <c r="N16" s="5"/>
      <c r="O16" s="3"/>
      <c r="P16" s="3"/>
    </row>
    <row r="17" spans="1:16" ht="26.1" customHeight="1">
      <c r="A17" s="18"/>
      <c r="B17" s="18"/>
      <c r="C17" s="18"/>
      <c r="D17" s="18"/>
      <c r="E17" s="3"/>
      <c r="F17" s="3"/>
      <c r="G17" s="3"/>
      <c r="H17" s="3"/>
      <c r="I17" s="3"/>
      <c r="J17" s="3"/>
      <c r="K17" s="3"/>
      <c r="L17" s="3"/>
      <c r="M17" s="3"/>
      <c r="N17" s="5"/>
      <c r="O17" s="3"/>
      <c r="P17" s="3"/>
    </row>
    <row r="18" spans="1:16" ht="26.1" customHeight="1">
      <c r="A18" s="18"/>
      <c r="B18" s="18"/>
      <c r="C18" s="18"/>
      <c r="D18" s="18"/>
      <c r="E18" s="3"/>
      <c r="F18" s="3"/>
      <c r="G18" s="3"/>
      <c r="H18" s="3"/>
      <c r="I18" s="3"/>
      <c r="J18" s="3"/>
      <c r="K18" s="3"/>
      <c r="L18" s="3"/>
      <c r="M18" s="3"/>
      <c r="N18" s="5"/>
      <c r="O18" s="3"/>
      <c r="P18" s="3"/>
    </row>
    <row r="19" spans="1:16" ht="26.1" customHeight="1">
      <c r="A19" s="18"/>
      <c r="B19" s="18"/>
      <c r="C19" s="18"/>
      <c r="D19" s="18"/>
      <c r="E19" s="3"/>
      <c r="F19" s="3"/>
      <c r="G19" s="3"/>
      <c r="H19" s="3"/>
      <c r="I19" s="3"/>
      <c r="J19" s="3"/>
      <c r="K19" s="3"/>
      <c r="L19" s="3"/>
      <c r="M19" s="3"/>
      <c r="N19" s="5"/>
      <c r="O19" s="3"/>
      <c r="P19" s="3"/>
    </row>
    <row r="20" spans="1:16" ht="26.1" customHeight="1">
      <c r="A20" s="18"/>
      <c r="B20" s="18"/>
      <c r="C20" s="18"/>
      <c r="D20" s="18"/>
      <c r="E20" s="3"/>
      <c r="F20" s="3"/>
      <c r="G20" s="3"/>
      <c r="H20" s="3"/>
      <c r="I20" s="3"/>
      <c r="J20" s="3"/>
      <c r="K20" s="3"/>
      <c r="L20" s="3"/>
      <c r="M20" s="3"/>
      <c r="N20" s="5"/>
      <c r="O20" s="3"/>
      <c r="P20" s="3"/>
    </row>
    <row r="21" spans="1:16" ht="26.1" customHeight="1">
      <c r="A21" s="18"/>
      <c r="B21" s="18"/>
      <c r="C21" s="18"/>
      <c r="D21" s="18"/>
      <c r="E21" s="3"/>
      <c r="F21" s="3"/>
      <c r="G21" s="3"/>
      <c r="H21" s="3"/>
      <c r="I21" s="3"/>
      <c r="J21" s="3"/>
      <c r="K21" s="3"/>
      <c r="L21" s="3"/>
      <c r="M21" s="3"/>
      <c r="N21" s="5"/>
      <c r="O21" s="3"/>
      <c r="P21" s="3"/>
    </row>
    <row r="22" spans="1:16" ht="26.1" customHeight="1">
      <c r="A22" s="18"/>
      <c r="B22" s="18"/>
      <c r="C22" s="18"/>
      <c r="D22" s="18"/>
      <c r="E22" s="3"/>
      <c r="F22" s="3"/>
      <c r="G22" s="3"/>
      <c r="H22" s="3"/>
      <c r="I22" s="3"/>
      <c r="J22" s="3"/>
      <c r="K22" s="3"/>
      <c r="L22" s="3"/>
      <c r="M22" s="3"/>
      <c r="N22" s="5"/>
      <c r="O22" s="3"/>
      <c r="P22" s="3"/>
    </row>
    <row r="23" spans="1:16" ht="26.1" customHeight="1">
      <c r="A23" s="18"/>
      <c r="B23" s="18"/>
      <c r="C23" s="18"/>
      <c r="D23" s="18"/>
      <c r="E23" s="3"/>
      <c r="F23" s="3"/>
      <c r="G23" s="3"/>
      <c r="H23" s="3"/>
      <c r="I23" s="3"/>
      <c r="J23" s="3"/>
      <c r="K23" s="3"/>
      <c r="L23" s="3"/>
      <c r="M23" s="3"/>
      <c r="N23" s="5"/>
      <c r="O23" s="3"/>
      <c r="P23" s="3"/>
    </row>
    <row r="24" spans="1:16" ht="26.1" customHeight="1">
      <c r="A24" s="18"/>
      <c r="B24" s="18"/>
      <c r="C24" s="18"/>
      <c r="D24" s="18"/>
      <c r="E24" s="3"/>
      <c r="F24" s="3"/>
      <c r="G24" s="3"/>
      <c r="H24" s="3"/>
      <c r="I24" s="3"/>
      <c r="J24" s="3"/>
      <c r="K24" s="3"/>
      <c r="L24" s="3"/>
      <c r="M24" s="3"/>
      <c r="N24" s="5"/>
      <c r="O24" s="3"/>
      <c r="P24" s="3"/>
    </row>
    <row r="25" spans="1:16" ht="26.1" customHeight="1">
      <c r="A25" s="18"/>
      <c r="B25" s="18"/>
      <c r="C25" s="18"/>
      <c r="D25" s="18"/>
      <c r="E25" s="3"/>
      <c r="F25" s="3"/>
      <c r="G25" s="3"/>
      <c r="H25" s="3"/>
      <c r="I25" s="3"/>
      <c r="J25" s="3"/>
      <c r="K25" s="3"/>
      <c r="L25" s="3"/>
      <c r="M25" s="3"/>
      <c r="N25" s="5"/>
      <c r="O25" s="3"/>
      <c r="P25" s="3"/>
    </row>
    <row r="26" spans="1:16" ht="26.1" customHeight="1">
      <c r="A26" s="18"/>
      <c r="B26" s="18"/>
      <c r="C26" s="18"/>
      <c r="D26" s="18"/>
      <c r="E26" s="3"/>
      <c r="F26" s="3"/>
      <c r="G26" s="3"/>
      <c r="H26" s="3"/>
      <c r="I26" s="3"/>
      <c r="J26" s="3"/>
      <c r="K26" s="3"/>
      <c r="L26" s="3"/>
      <c r="M26" s="3"/>
      <c r="N26" s="5"/>
      <c r="O26" s="3"/>
      <c r="P26" s="3"/>
    </row>
    <row r="27" spans="1:16" ht="26.1" customHeight="1">
      <c r="A27" s="18"/>
      <c r="B27" s="18"/>
      <c r="C27" s="18"/>
      <c r="D27" s="18"/>
      <c r="E27" s="3"/>
      <c r="F27" s="3"/>
      <c r="G27" s="3"/>
      <c r="H27" s="3"/>
      <c r="I27" s="3"/>
      <c r="J27" s="3"/>
      <c r="K27" s="3"/>
      <c r="L27" s="3"/>
      <c r="M27" s="3"/>
      <c r="N27" s="5"/>
      <c r="O27" s="3"/>
      <c r="P27" s="3"/>
    </row>
    <row r="28" spans="1:16" ht="26.1" customHeight="1">
      <c r="A28" s="18"/>
      <c r="B28" s="18"/>
      <c r="C28" s="18"/>
      <c r="D28" s="18"/>
      <c r="E28" s="3"/>
      <c r="F28" s="3"/>
      <c r="G28" s="3"/>
      <c r="H28" s="3"/>
      <c r="I28" s="3"/>
      <c r="J28" s="3"/>
      <c r="K28" s="3"/>
      <c r="L28" s="3"/>
      <c r="M28" s="3"/>
      <c r="N28" s="5"/>
      <c r="O28" s="3"/>
      <c r="P28" s="3"/>
    </row>
    <row r="29" spans="1:16" ht="26.1" customHeight="1">
      <c r="A29" s="18"/>
      <c r="B29" s="18"/>
      <c r="C29" s="18"/>
      <c r="D29" s="18"/>
      <c r="E29" s="3"/>
      <c r="F29" s="3"/>
      <c r="G29" s="3"/>
      <c r="H29" s="3"/>
      <c r="I29" s="3"/>
      <c r="J29" s="3"/>
      <c r="K29" s="3"/>
      <c r="L29" s="3"/>
      <c r="M29" s="3"/>
      <c r="N29" s="5"/>
      <c r="O29" s="3"/>
      <c r="P29" s="3"/>
    </row>
    <row r="30" spans="1:16" ht="26.1" customHeight="1">
      <c r="A30" s="18"/>
      <c r="B30" s="18"/>
      <c r="C30" s="18"/>
      <c r="D30" s="18"/>
      <c r="E30" s="3"/>
      <c r="F30" s="3"/>
      <c r="G30" s="3"/>
      <c r="H30" s="3"/>
      <c r="I30" s="3"/>
      <c r="J30" s="3"/>
      <c r="K30" s="3"/>
      <c r="L30" s="3"/>
      <c r="M30" s="3"/>
      <c r="N30" s="5"/>
      <c r="O30" s="3"/>
      <c r="P30" s="3"/>
    </row>
    <row r="31" spans="1:16" ht="26.1" customHeight="1">
      <c r="A31" s="18"/>
      <c r="B31" s="18"/>
      <c r="C31" s="18"/>
      <c r="D31" s="18"/>
      <c r="E31" s="3"/>
      <c r="F31" s="3"/>
      <c r="G31" s="3"/>
      <c r="H31" s="3"/>
      <c r="I31" s="3"/>
      <c r="J31" s="3"/>
      <c r="K31" s="3"/>
      <c r="L31" s="3"/>
      <c r="M31" s="3"/>
      <c r="N31" s="5"/>
      <c r="O31" s="3"/>
      <c r="P31" s="3"/>
    </row>
    <row r="32" spans="1:16" ht="26.1" customHeight="1">
      <c r="A32" s="18"/>
      <c r="B32" s="18"/>
      <c r="C32" s="18"/>
      <c r="D32" s="18"/>
      <c r="E32" s="3"/>
      <c r="F32" s="3"/>
      <c r="G32" s="3"/>
      <c r="H32" s="3"/>
      <c r="I32" s="3"/>
      <c r="J32" s="3"/>
      <c r="K32" s="3"/>
      <c r="L32" s="3"/>
      <c r="M32" s="3"/>
      <c r="N32" s="5"/>
      <c r="O32" s="3"/>
      <c r="P32" s="3"/>
    </row>
    <row r="33" spans="1:16" ht="26.1" customHeight="1">
      <c r="A33" s="18"/>
      <c r="B33" s="18"/>
      <c r="C33" s="18"/>
      <c r="D33" s="18"/>
      <c r="E33" s="3"/>
      <c r="F33" s="3"/>
      <c r="G33" s="3"/>
      <c r="H33" s="3"/>
      <c r="I33" s="3"/>
      <c r="J33" s="3"/>
      <c r="K33" s="3"/>
      <c r="L33" s="3"/>
      <c r="M33" s="3"/>
      <c r="N33" s="5"/>
      <c r="O33" s="3"/>
      <c r="P33" s="3"/>
    </row>
    <row r="34" spans="1:16" ht="26.1" customHeight="1">
      <c r="A34" s="18"/>
      <c r="B34" s="18"/>
      <c r="C34" s="18"/>
      <c r="D34" s="18"/>
      <c r="E34" s="3"/>
      <c r="F34" s="3"/>
      <c r="G34" s="3"/>
      <c r="H34" s="3"/>
      <c r="I34" s="3"/>
      <c r="J34" s="3"/>
      <c r="K34" s="3"/>
      <c r="L34" s="3"/>
      <c r="M34" s="3"/>
      <c r="N34" s="5"/>
      <c r="O34" s="3"/>
      <c r="P34" s="3"/>
    </row>
    <row r="35" spans="1:16" ht="26.1" customHeight="1">
      <c r="A35" s="18"/>
      <c r="B35" s="18"/>
      <c r="C35" s="18"/>
      <c r="D35" s="18"/>
      <c r="E35" s="3"/>
      <c r="F35" s="3"/>
      <c r="G35" s="3"/>
      <c r="H35" s="3"/>
      <c r="I35" s="3"/>
      <c r="J35" s="3"/>
      <c r="K35" s="3"/>
      <c r="L35" s="3"/>
      <c r="M35" s="3"/>
      <c r="N35" s="5"/>
      <c r="O35" s="3"/>
      <c r="P35" s="3"/>
    </row>
    <row r="36" spans="1:16" ht="26.1" customHeight="1">
      <c r="A36" s="18"/>
      <c r="B36" s="18"/>
      <c r="C36" s="18"/>
      <c r="D36" s="18"/>
      <c r="E36" s="3"/>
      <c r="F36" s="3"/>
      <c r="G36" s="3"/>
      <c r="H36" s="3"/>
      <c r="I36" s="3"/>
      <c r="J36" s="3"/>
      <c r="K36" s="3"/>
      <c r="L36" s="3"/>
      <c r="M36" s="3"/>
      <c r="N36" s="5"/>
      <c r="O36" s="3"/>
      <c r="P36" s="3"/>
    </row>
    <row r="37" spans="1:16" ht="26.1" customHeight="1">
      <c r="A37" s="18"/>
      <c r="B37" s="18"/>
      <c r="C37" s="18"/>
      <c r="D37" s="18"/>
      <c r="E37" s="3"/>
      <c r="F37" s="3"/>
      <c r="G37" s="3"/>
      <c r="H37" s="3"/>
      <c r="I37" s="3"/>
      <c r="J37" s="3"/>
      <c r="K37" s="3"/>
      <c r="L37" s="3"/>
      <c r="M37" s="3"/>
      <c r="N37" s="5"/>
      <c r="O37" s="3"/>
      <c r="P37" s="3"/>
    </row>
    <row r="38" spans="1:16" ht="26.1" customHeight="1">
      <c r="A38" s="18"/>
      <c r="B38" s="18"/>
      <c r="C38" s="18"/>
      <c r="D38" s="18"/>
      <c r="E38" s="3"/>
      <c r="F38" s="3"/>
      <c r="G38" s="3"/>
      <c r="H38" s="3"/>
      <c r="I38" s="3"/>
      <c r="J38" s="3"/>
      <c r="K38" s="3"/>
      <c r="L38" s="3"/>
      <c r="M38" s="3"/>
      <c r="N38" s="5"/>
      <c r="O38" s="3"/>
      <c r="P38" s="3"/>
    </row>
    <row r="39" spans="1:16" ht="26.1" customHeight="1">
      <c r="A39" s="18"/>
      <c r="B39" s="18"/>
      <c r="C39" s="18"/>
      <c r="D39" s="18"/>
      <c r="E39" s="3"/>
      <c r="F39" s="3"/>
      <c r="G39" s="3"/>
      <c r="H39" s="3"/>
      <c r="I39" s="3"/>
      <c r="J39" s="3"/>
      <c r="K39" s="3"/>
      <c r="L39" s="3"/>
      <c r="M39" s="3"/>
      <c r="N39" s="5"/>
      <c r="O39" s="3"/>
      <c r="P39" s="3"/>
    </row>
    <row r="40" spans="1:16" ht="26.1" customHeight="1">
      <c r="A40" s="18"/>
      <c r="B40" s="18"/>
      <c r="C40" s="18"/>
      <c r="D40" s="18"/>
      <c r="E40" s="3"/>
      <c r="F40" s="3"/>
      <c r="G40" s="3"/>
      <c r="H40" s="3"/>
      <c r="I40" s="3"/>
      <c r="J40" s="3"/>
      <c r="K40" s="3"/>
      <c r="L40" s="3"/>
      <c r="M40" s="3"/>
      <c r="N40" s="5"/>
      <c r="O40" s="3"/>
      <c r="P40" s="3"/>
    </row>
    <row r="41" spans="1:16" ht="26.1" customHeight="1">
      <c r="A41" s="18"/>
      <c r="B41" s="18"/>
      <c r="C41" s="18"/>
      <c r="D41" s="18"/>
      <c r="E41" s="3"/>
      <c r="F41" s="3"/>
      <c r="G41" s="3"/>
      <c r="H41" s="3"/>
      <c r="I41" s="3"/>
      <c r="J41" s="3"/>
      <c r="K41" s="3"/>
      <c r="L41" s="3"/>
      <c r="M41" s="3"/>
      <c r="N41" s="5"/>
      <c r="O41" s="3"/>
      <c r="P41" s="3"/>
    </row>
    <row r="42" spans="1:16" ht="26.1" customHeight="1">
      <c r="A42" s="18"/>
      <c r="B42" s="18"/>
      <c r="C42" s="18"/>
      <c r="D42" s="18"/>
      <c r="E42" s="3"/>
      <c r="F42" s="3"/>
      <c r="G42" s="3"/>
      <c r="H42" s="3"/>
      <c r="I42" s="3"/>
      <c r="J42" s="3"/>
      <c r="K42" s="3"/>
      <c r="L42" s="3"/>
      <c r="M42" s="3"/>
      <c r="N42" s="5"/>
      <c r="O42" s="3"/>
      <c r="P42" s="3"/>
    </row>
    <row r="43" spans="1:16" ht="26.1" customHeight="1">
      <c r="A43" s="18"/>
      <c r="B43" s="18"/>
      <c r="C43" s="18"/>
      <c r="D43" s="18"/>
      <c r="E43" s="3"/>
      <c r="F43" s="3"/>
      <c r="G43" s="3"/>
      <c r="H43" s="3"/>
      <c r="I43" s="3"/>
      <c r="J43" s="3"/>
      <c r="K43" s="3"/>
      <c r="L43" s="3"/>
      <c r="M43" s="3"/>
      <c r="N43" s="5"/>
      <c r="O43" s="3"/>
      <c r="P43" s="3"/>
    </row>
    <row r="44" spans="1:16" ht="26.1" customHeight="1">
      <c r="A44" s="18"/>
      <c r="B44" s="18"/>
      <c r="C44" s="18"/>
      <c r="D44" s="18"/>
      <c r="E44" s="3"/>
      <c r="F44" s="3"/>
      <c r="G44" s="3"/>
      <c r="H44" s="3"/>
      <c r="I44" s="3"/>
      <c r="J44" s="3"/>
      <c r="K44" s="3"/>
      <c r="L44" s="3"/>
      <c r="M44" s="3"/>
      <c r="N44" s="5"/>
      <c r="O44" s="3"/>
      <c r="P44" s="3"/>
    </row>
    <row r="45" spans="1:16" ht="26.1" customHeight="1">
      <c r="A45" s="18"/>
      <c r="B45" s="18"/>
      <c r="C45" s="18"/>
      <c r="D45" s="18"/>
      <c r="E45" s="3"/>
      <c r="F45" s="3"/>
      <c r="G45" s="3"/>
      <c r="H45" s="3"/>
      <c r="I45" s="3"/>
      <c r="J45" s="3"/>
      <c r="K45" s="3"/>
      <c r="L45" s="3"/>
      <c r="M45" s="3"/>
      <c r="N45" s="5"/>
      <c r="O45" s="3"/>
      <c r="P45" s="3"/>
    </row>
    <row r="46" spans="1:16" ht="26.1" customHeight="1">
      <c r="A46" s="18"/>
      <c r="B46" s="18"/>
      <c r="C46" s="18"/>
      <c r="D46" s="18"/>
      <c r="E46" s="3"/>
      <c r="F46" s="3"/>
      <c r="G46" s="3"/>
      <c r="H46" s="3"/>
      <c r="I46" s="3"/>
      <c r="J46" s="3"/>
      <c r="K46" s="3"/>
      <c r="L46" s="3"/>
      <c r="M46" s="3"/>
      <c r="N46" s="5"/>
      <c r="O46" s="3"/>
      <c r="P46" s="3"/>
    </row>
    <row r="47" spans="1:16" ht="26.1" customHeight="1">
      <c r="A47" s="18"/>
      <c r="B47" s="18"/>
      <c r="C47" s="18"/>
      <c r="D47" s="18"/>
      <c r="E47" s="3"/>
      <c r="F47" s="3"/>
      <c r="G47" s="3"/>
      <c r="H47" s="3"/>
      <c r="I47" s="3"/>
      <c r="J47" s="3"/>
      <c r="K47" s="3"/>
      <c r="L47" s="3"/>
      <c r="M47" s="3"/>
      <c r="N47" s="5"/>
      <c r="O47" s="3"/>
      <c r="P47" s="3"/>
    </row>
    <row r="48" spans="1:16" ht="26.1" customHeight="1">
      <c r="A48" s="18"/>
      <c r="B48" s="18"/>
      <c r="C48" s="18"/>
      <c r="D48" s="18"/>
      <c r="E48" s="3"/>
      <c r="F48" s="3"/>
      <c r="G48" s="3"/>
      <c r="H48" s="3"/>
      <c r="I48" s="3"/>
      <c r="J48" s="3"/>
      <c r="K48" s="3"/>
      <c r="L48" s="3"/>
      <c r="M48" s="3"/>
      <c r="N48" s="5"/>
      <c r="O48" s="3"/>
      <c r="P48" s="3"/>
    </row>
    <row r="49" spans="1:16" ht="26.1" customHeight="1">
      <c r="A49" s="18"/>
      <c r="B49" s="18"/>
      <c r="C49" s="18"/>
      <c r="D49" s="18"/>
      <c r="E49" s="3"/>
      <c r="F49" s="3"/>
      <c r="G49" s="3"/>
      <c r="H49" s="3"/>
      <c r="I49" s="3"/>
      <c r="J49" s="3"/>
      <c r="K49" s="3"/>
      <c r="L49" s="3"/>
      <c r="M49" s="3"/>
      <c r="N49" s="5"/>
      <c r="O49" s="3"/>
      <c r="P49" s="3"/>
    </row>
    <row r="50" spans="1:16" ht="26.1" customHeight="1">
      <c r="A50" s="18"/>
      <c r="B50" s="18"/>
      <c r="C50" s="18"/>
      <c r="D50" s="18"/>
      <c r="E50" s="3"/>
      <c r="F50" s="3"/>
      <c r="G50" s="3"/>
      <c r="H50" s="3"/>
      <c r="I50" s="3"/>
      <c r="J50" s="3"/>
      <c r="K50" s="3"/>
      <c r="L50" s="3"/>
      <c r="M50" s="3"/>
      <c r="N50" s="5"/>
      <c r="O50" s="3"/>
      <c r="P50" s="3"/>
    </row>
    <row r="51" spans="1:16" ht="26.1" customHeight="1">
      <c r="A51" s="18"/>
      <c r="B51" s="18"/>
      <c r="C51" s="18"/>
      <c r="D51" s="18"/>
      <c r="E51" s="3"/>
      <c r="F51" s="3"/>
      <c r="G51" s="3"/>
      <c r="H51" s="3"/>
      <c r="I51" s="3"/>
      <c r="J51" s="3"/>
      <c r="K51" s="3"/>
      <c r="L51" s="3"/>
      <c r="M51" s="3"/>
      <c r="N51" s="5"/>
      <c r="O51" s="3"/>
      <c r="P51" s="3"/>
    </row>
    <row r="52" spans="1:16" ht="26.1" customHeight="1">
      <c r="A52" s="18"/>
      <c r="B52" s="18"/>
      <c r="C52" s="18"/>
      <c r="D52" s="18"/>
      <c r="E52" s="3"/>
      <c r="F52" s="3"/>
      <c r="G52" s="3"/>
      <c r="H52" s="3"/>
      <c r="I52" s="3"/>
      <c r="J52" s="3"/>
      <c r="K52" s="3"/>
      <c r="L52" s="3"/>
      <c r="M52" s="3"/>
      <c r="N52" s="5"/>
      <c r="O52" s="3"/>
      <c r="P52" s="3"/>
    </row>
    <row r="53" spans="1:16" ht="26.1" customHeight="1">
      <c r="A53" s="18"/>
      <c r="B53" s="18"/>
      <c r="C53" s="18"/>
      <c r="D53" s="18"/>
      <c r="E53" s="3"/>
      <c r="F53" s="3"/>
      <c r="G53" s="3"/>
      <c r="H53" s="3"/>
      <c r="I53" s="3"/>
      <c r="J53" s="3"/>
      <c r="K53" s="3"/>
      <c r="L53" s="3"/>
      <c r="M53" s="3"/>
      <c r="N53" s="5"/>
      <c r="O53" s="3"/>
      <c r="P53" s="3"/>
    </row>
    <row r="54" spans="1:16" ht="26.1" customHeight="1">
      <c r="A54" s="18"/>
      <c r="B54" s="18"/>
      <c r="C54" s="18"/>
      <c r="D54" s="18"/>
      <c r="E54" s="3"/>
      <c r="F54" s="3"/>
      <c r="G54" s="3"/>
      <c r="H54" s="3"/>
      <c r="I54" s="3"/>
      <c r="J54" s="3"/>
      <c r="K54" s="3"/>
      <c r="L54" s="3"/>
      <c r="M54" s="3"/>
      <c r="N54" s="5"/>
      <c r="O54" s="3"/>
      <c r="P54" s="3"/>
    </row>
    <row r="55" spans="1:16" ht="26.1" customHeight="1">
      <c r="A55" s="18"/>
      <c r="B55" s="18"/>
      <c r="C55" s="18"/>
      <c r="D55" s="18"/>
      <c r="E55" s="3"/>
      <c r="F55" s="3"/>
      <c r="G55" s="3"/>
      <c r="H55" s="3"/>
      <c r="I55" s="3"/>
      <c r="J55" s="3"/>
      <c r="K55" s="3"/>
      <c r="L55" s="3"/>
      <c r="M55" s="3"/>
      <c r="N55" s="5"/>
      <c r="O55" s="3"/>
      <c r="P55" s="3"/>
    </row>
    <row r="56" spans="1:16" ht="26.1" customHeight="1">
      <c r="A56" s="18"/>
      <c r="B56" s="18"/>
      <c r="C56" s="18"/>
      <c r="D56" s="18"/>
      <c r="E56" s="3"/>
      <c r="F56" s="3"/>
      <c r="G56" s="3"/>
      <c r="H56" s="3"/>
      <c r="I56" s="3"/>
      <c r="J56" s="3"/>
      <c r="K56" s="3"/>
      <c r="L56" s="3"/>
      <c r="M56" s="3"/>
      <c r="N56" s="5"/>
      <c r="O56" s="3"/>
      <c r="P56" s="3"/>
    </row>
    <row r="57" spans="1:16" ht="26.1" customHeight="1">
      <c r="A57" s="18"/>
      <c r="B57" s="18"/>
      <c r="C57" s="18"/>
      <c r="D57" s="18"/>
      <c r="E57" s="3"/>
      <c r="F57" s="3"/>
      <c r="G57" s="3"/>
      <c r="H57" s="3"/>
      <c r="I57" s="3"/>
      <c r="J57" s="3"/>
      <c r="K57" s="3"/>
      <c r="L57" s="3"/>
      <c r="M57" s="3"/>
      <c r="N57" s="5"/>
      <c r="O57" s="3"/>
      <c r="P57" s="3"/>
    </row>
    <row r="58" spans="1:16" ht="26.1" customHeight="1">
      <c r="A58" s="18"/>
      <c r="B58" s="18"/>
      <c r="C58" s="18"/>
      <c r="D58" s="18"/>
      <c r="E58" s="3"/>
      <c r="F58" s="3"/>
      <c r="G58" s="3"/>
      <c r="H58" s="3"/>
      <c r="I58" s="3"/>
      <c r="J58" s="3"/>
      <c r="K58" s="3"/>
      <c r="L58" s="3"/>
      <c r="M58" s="3"/>
      <c r="N58" s="5"/>
      <c r="O58" s="3"/>
      <c r="P58" s="3"/>
    </row>
    <row r="59" spans="1:16" ht="26.1" customHeight="1">
      <c r="A59" s="18"/>
      <c r="B59" s="18"/>
      <c r="C59" s="18"/>
      <c r="D59" s="18"/>
      <c r="E59" s="3"/>
      <c r="F59" s="3"/>
      <c r="G59" s="3"/>
      <c r="H59" s="3"/>
      <c r="I59" s="3"/>
      <c r="J59" s="3"/>
      <c r="K59" s="3"/>
      <c r="L59" s="3"/>
      <c r="M59" s="3"/>
      <c r="N59" s="5"/>
      <c r="O59" s="3"/>
      <c r="P59" s="3"/>
    </row>
    <row r="60" spans="1:16" ht="26.1" customHeight="1">
      <c r="A60" s="18"/>
      <c r="B60" s="18"/>
      <c r="C60" s="18"/>
      <c r="D60" s="18"/>
      <c r="E60" s="3"/>
      <c r="F60" s="3"/>
      <c r="G60" s="3"/>
      <c r="H60" s="3"/>
      <c r="I60" s="3"/>
      <c r="J60" s="3"/>
      <c r="K60" s="3"/>
      <c r="L60" s="3"/>
      <c r="M60" s="3"/>
      <c r="N60" s="5"/>
      <c r="O60" s="3"/>
      <c r="P60" s="3"/>
    </row>
    <row r="61" spans="1:16" ht="26.1" customHeight="1">
      <c r="A61" s="18"/>
      <c r="B61" s="18"/>
      <c r="C61" s="18"/>
      <c r="D61" s="18"/>
      <c r="E61" s="3"/>
      <c r="F61" s="3"/>
      <c r="G61" s="3"/>
      <c r="H61" s="3"/>
      <c r="I61" s="3"/>
      <c r="J61" s="3"/>
      <c r="K61" s="3"/>
      <c r="L61" s="3"/>
      <c r="M61" s="3"/>
      <c r="N61" s="5"/>
      <c r="O61" s="3"/>
      <c r="P61" s="3"/>
    </row>
    <row r="62" spans="1:16" ht="26.1" customHeight="1">
      <c r="A62" s="18"/>
      <c r="B62" s="18"/>
      <c r="C62" s="18"/>
      <c r="D62" s="18"/>
      <c r="E62" s="3"/>
      <c r="F62" s="3"/>
      <c r="G62" s="3"/>
      <c r="H62" s="3"/>
      <c r="I62" s="3"/>
      <c r="J62" s="3"/>
      <c r="K62" s="3"/>
      <c r="L62" s="3"/>
      <c r="M62" s="3"/>
      <c r="N62" s="5"/>
      <c r="O62" s="3"/>
      <c r="P62" s="3"/>
    </row>
    <row r="63" spans="1:16" ht="26.1" customHeight="1">
      <c r="A63" s="18"/>
      <c r="B63" s="18"/>
      <c r="C63" s="18"/>
      <c r="D63" s="18"/>
      <c r="E63" s="3"/>
      <c r="F63" s="3"/>
      <c r="G63" s="3"/>
      <c r="H63" s="3"/>
      <c r="I63" s="3"/>
      <c r="J63" s="3"/>
      <c r="K63" s="3"/>
      <c r="L63" s="3"/>
      <c r="M63" s="3"/>
      <c r="N63" s="5"/>
      <c r="O63" s="3"/>
      <c r="P63" s="3"/>
    </row>
    <row r="64" spans="1:16" ht="26.1" customHeight="1">
      <c r="A64" s="18"/>
      <c r="B64" s="18"/>
      <c r="C64" s="18"/>
      <c r="D64" s="18"/>
      <c r="E64" s="3"/>
      <c r="F64" s="3"/>
      <c r="G64" s="3"/>
      <c r="H64" s="3"/>
      <c r="I64" s="3"/>
      <c r="J64" s="3"/>
      <c r="K64" s="3"/>
      <c r="L64" s="3"/>
      <c r="M64" s="3"/>
      <c r="N64" s="5"/>
      <c r="O64" s="3"/>
      <c r="P64" s="3"/>
    </row>
    <row r="65" spans="1:16" ht="26.1" customHeight="1">
      <c r="A65" s="18"/>
      <c r="B65" s="18"/>
      <c r="C65" s="18"/>
      <c r="D65" s="18"/>
      <c r="E65" s="3"/>
      <c r="F65" s="3"/>
      <c r="G65" s="3"/>
      <c r="H65" s="3"/>
      <c r="I65" s="3"/>
      <c r="J65" s="3"/>
      <c r="K65" s="3"/>
      <c r="L65" s="3"/>
      <c r="M65" s="3"/>
      <c r="N65" s="5"/>
      <c r="O65" s="3"/>
      <c r="P65" s="3"/>
    </row>
    <row r="66" spans="1:16" ht="26.1" customHeight="1">
      <c r="A66" s="18"/>
      <c r="B66" s="18"/>
      <c r="C66" s="18"/>
      <c r="D66" s="18"/>
      <c r="E66" s="3"/>
      <c r="F66" s="3"/>
      <c r="G66" s="3"/>
      <c r="H66" s="3"/>
      <c r="I66" s="3"/>
      <c r="J66" s="3"/>
      <c r="K66" s="3"/>
      <c r="L66" s="3"/>
      <c r="M66" s="3"/>
      <c r="N66" s="5"/>
      <c r="O66" s="3"/>
      <c r="P66" s="3"/>
    </row>
    <row r="67" spans="1:16" ht="26.1" customHeight="1">
      <c r="A67" s="18"/>
      <c r="B67" s="18"/>
      <c r="C67" s="18"/>
      <c r="D67" s="18"/>
      <c r="E67" s="3"/>
      <c r="F67" s="3"/>
      <c r="G67" s="3"/>
      <c r="H67" s="3"/>
      <c r="I67" s="3"/>
      <c r="J67" s="3"/>
      <c r="K67" s="3"/>
      <c r="L67" s="3"/>
      <c r="M67" s="3"/>
      <c r="N67" s="5"/>
      <c r="O67" s="3"/>
      <c r="P67" s="3"/>
    </row>
    <row r="68" spans="1:16" ht="26.1" customHeight="1">
      <c r="A68" s="18"/>
      <c r="B68" s="18"/>
      <c r="C68" s="18"/>
      <c r="D68" s="18"/>
      <c r="E68" s="3"/>
      <c r="F68" s="3"/>
      <c r="G68" s="3"/>
      <c r="H68" s="3"/>
      <c r="I68" s="3"/>
      <c r="J68" s="3"/>
      <c r="K68" s="3"/>
      <c r="L68" s="3"/>
      <c r="M68" s="3"/>
      <c r="N68" s="5"/>
      <c r="O68" s="3"/>
      <c r="P68" s="3"/>
    </row>
    <row r="69" spans="1:16" ht="26.1" customHeight="1">
      <c r="A69" s="18"/>
      <c r="B69" s="18"/>
      <c r="C69" s="18"/>
      <c r="D69" s="18"/>
      <c r="E69" s="3"/>
      <c r="F69" s="3"/>
      <c r="G69" s="3"/>
      <c r="H69" s="3"/>
      <c r="I69" s="3"/>
      <c r="J69" s="3"/>
      <c r="K69" s="3"/>
      <c r="L69" s="3"/>
      <c r="M69" s="3"/>
      <c r="N69" s="5"/>
      <c r="O69" s="3"/>
      <c r="P69" s="3"/>
    </row>
    <row r="70" spans="1:16" ht="26.1" customHeight="1">
      <c r="A70" s="18"/>
      <c r="B70" s="18"/>
      <c r="C70" s="18"/>
      <c r="D70" s="18"/>
      <c r="E70" s="3"/>
      <c r="F70" s="3"/>
      <c r="G70" s="3"/>
      <c r="H70" s="3"/>
      <c r="I70" s="3"/>
      <c r="J70" s="3"/>
      <c r="K70" s="3"/>
      <c r="L70" s="3"/>
      <c r="M70" s="3"/>
      <c r="N70" s="5"/>
      <c r="O70" s="3"/>
      <c r="P70" s="3"/>
    </row>
    <row r="71" spans="1:16" ht="26.1" customHeight="1">
      <c r="A71" s="18"/>
      <c r="B71" s="18"/>
      <c r="C71" s="18"/>
      <c r="D71" s="18"/>
      <c r="E71" s="3"/>
      <c r="F71" s="3"/>
      <c r="G71" s="3"/>
      <c r="H71" s="3"/>
      <c r="I71" s="3"/>
      <c r="J71" s="3"/>
      <c r="K71" s="3"/>
      <c r="L71" s="3"/>
      <c r="M71" s="3"/>
      <c r="N71" s="5"/>
      <c r="O71" s="3"/>
      <c r="P71" s="3"/>
    </row>
    <row r="72" spans="1:16" ht="26.1" customHeight="1">
      <c r="A72" s="18"/>
      <c r="B72" s="18"/>
      <c r="C72" s="18"/>
      <c r="D72" s="18"/>
      <c r="E72" s="3"/>
      <c r="F72" s="3"/>
      <c r="G72" s="3"/>
      <c r="H72" s="3"/>
      <c r="I72" s="3"/>
      <c r="J72" s="3"/>
      <c r="K72" s="3"/>
      <c r="L72" s="3"/>
      <c r="M72" s="3"/>
      <c r="N72" s="5"/>
      <c r="O72" s="3"/>
      <c r="P72" s="3"/>
    </row>
    <row r="73" spans="1:16" ht="26.1" customHeight="1">
      <c r="A73" s="18"/>
      <c r="B73" s="18"/>
      <c r="C73" s="18"/>
      <c r="D73" s="18"/>
      <c r="E73" s="3"/>
      <c r="F73" s="3"/>
      <c r="G73" s="3"/>
      <c r="H73" s="3"/>
      <c r="I73" s="3"/>
      <c r="J73" s="3"/>
      <c r="K73" s="3"/>
      <c r="L73" s="3"/>
      <c r="M73" s="3"/>
      <c r="N73" s="5"/>
      <c r="O73" s="3"/>
      <c r="P73" s="3"/>
    </row>
    <row r="74" spans="1:16" ht="26.1" customHeight="1">
      <c r="A74" s="18"/>
      <c r="B74" s="18"/>
      <c r="C74" s="18"/>
      <c r="D74" s="18"/>
      <c r="E74" s="3"/>
      <c r="F74" s="3"/>
      <c r="G74" s="3"/>
      <c r="H74" s="3"/>
      <c r="I74" s="3"/>
      <c r="J74" s="3"/>
      <c r="K74" s="3"/>
      <c r="L74" s="3"/>
      <c r="M74" s="3"/>
      <c r="N74" s="5"/>
      <c r="O74" s="3"/>
      <c r="P74" s="3"/>
    </row>
    <row r="75" spans="1:16" ht="26.1" customHeight="1">
      <c r="A75" s="18"/>
      <c r="B75" s="18"/>
      <c r="C75" s="18"/>
      <c r="D75" s="18"/>
      <c r="E75" s="3"/>
      <c r="F75" s="3"/>
      <c r="G75" s="3"/>
      <c r="H75" s="3"/>
      <c r="I75" s="3"/>
      <c r="J75" s="3"/>
      <c r="K75" s="3"/>
      <c r="L75" s="3"/>
      <c r="M75" s="3"/>
      <c r="N75" s="5"/>
      <c r="O75" s="3"/>
      <c r="P75" s="3"/>
    </row>
    <row r="76" spans="1:16" ht="26.1" customHeight="1">
      <c r="A76" s="18"/>
      <c r="B76" s="18"/>
      <c r="C76" s="18"/>
      <c r="D76" s="18"/>
      <c r="E76" s="3"/>
      <c r="F76" s="3"/>
      <c r="G76" s="3"/>
      <c r="H76" s="3"/>
      <c r="I76" s="3"/>
      <c r="J76" s="3"/>
      <c r="K76" s="3"/>
      <c r="L76" s="3"/>
      <c r="M76" s="3"/>
      <c r="N76" s="5"/>
      <c r="O76" s="3"/>
      <c r="P76" s="3"/>
    </row>
    <row r="77" spans="1:16" ht="26.1" customHeight="1">
      <c r="A77" s="18"/>
      <c r="B77" s="18"/>
      <c r="C77" s="18"/>
      <c r="D77" s="18"/>
      <c r="E77" s="3"/>
      <c r="F77" s="3"/>
      <c r="G77" s="3"/>
      <c r="H77" s="3"/>
      <c r="I77" s="3"/>
      <c r="J77" s="3"/>
      <c r="K77" s="3"/>
      <c r="L77" s="3"/>
      <c r="M77" s="3"/>
      <c r="N77" s="5"/>
      <c r="O77" s="3"/>
      <c r="P77" s="3"/>
    </row>
    <row r="78" spans="1:16" ht="26.1" customHeight="1">
      <c r="A78" s="18"/>
      <c r="B78" s="18"/>
      <c r="C78" s="18"/>
      <c r="D78" s="18"/>
      <c r="E78" s="3"/>
      <c r="F78" s="3"/>
      <c r="G78" s="3"/>
      <c r="H78" s="3"/>
      <c r="I78" s="3"/>
      <c r="J78" s="3"/>
      <c r="K78" s="3"/>
      <c r="L78" s="3"/>
      <c r="M78" s="3"/>
      <c r="N78" s="5"/>
      <c r="O78" s="3"/>
      <c r="P78" s="3"/>
    </row>
    <row r="79" spans="1:16" ht="26.1" customHeight="1">
      <c r="A79" s="18"/>
      <c r="B79" s="18"/>
      <c r="C79" s="18"/>
      <c r="D79" s="18"/>
      <c r="E79" s="3"/>
      <c r="F79" s="3"/>
      <c r="G79" s="3"/>
      <c r="H79" s="3"/>
      <c r="I79" s="3"/>
      <c r="J79" s="3"/>
      <c r="K79" s="3"/>
      <c r="L79" s="3"/>
      <c r="M79" s="3"/>
      <c r="N79" s="5"/>
      <c r="O79" s="3"/>
      <c r="P79" s="3"/>
    </row>
    <row r="80" spans="1:16" ht="26.1" customHeight="1">
      <c r="A80" s="18"/>
      <c r="B80" s="18"/>
      <c r="C80" s="18"/>
      <c r="D80" s="18"/>
      <c r="E80" s="3"/>
      <c r="F80" s="3"/>
      <c r="G80" s="3"/>
      <c r="H80" s="3"/>
      <c r="I80" s="3"/>
      <c r="J80" s="3"/>
      <c r="K80" s="3"/>
      <c r="L80" s="3"/>
      <c r="M80" s="3"/>
      <c r="N80" s="5"/>
      <c r="O80" s="3"/>
      <c r="P80" s="3"/>
    </row>
    <row r="81" spans="1:16" ht="26.1" customHeight="1">
      <c r="A81" s="18"/>
      <c r="B81" s="18"/>
      <c r="C81" s="18"/>
      <c r="D81" s="18"/>
      <c r="E81" s="3"/>
      <c r="F81" s="3"/>
      <c r="G81" s="3"/>
      <c r="H81" s="3"/>
      <c r="I81" s="3"/>
      <c r="J81" s="3"/>
      <c r="K81" s="3"/>
      <c r="L81" s="3"/>
      <c r="M81" s="3"/>
      <c r="N81" s="5"/>
      <c r="O81" s="3"/>
      <c r="P81" s="3"/>
    </row>
    <row r="82" spans="1:16" ht="26.1" customHeight="1">
      <c r="A82" s="18"/>
      <c r="B82" s="18"/>
      <c r="C82" s="18"/>
      <c r="D82" s="18"/>
      <c r="E82" s="3"/>
      <c r="F82" s="3"/>
      <c r="G82" s="3"/>
      <c r="H82" s="3"/>
      <c r="I82" s="3"/>
      <c r="J82" s="3"/>
      <c r="K82" s="3"/>
      <c r="L82" s="3"/>
      <c r="M82" s="3"/>
      <c r="N82" s="5"/>
      <c r="O82" s="3"/>
      <c r="P82" s="3"/>
    </row>
    <row r="83" spans="1:16" ht="26.1" customHeight="1">
      <c r="A83" s="18"/>
      <c r="B83" s="18"/>
      <c r="C83" s="18"/>
      <c r="D83" s="18"/>
      <c r="E83" s="3"/>
      <c r="F83" s="3"/>
      <c r="G83" s="3"/>
      <c r="H83" s="3"/>
      <c r="I83" s="3"/>
      <c r="J83" s="3"/>
      <c r="K83" s="3"/>
      <c r="L83" s="3"/>
      <c r="M83" s="3"/>
      <c r="N83" s="5"/>
      <c r="O83" s="3"/>
      <c r="P83" s="3"/>
    </row>
    <row r="84" spans="1:16" ht="26.1" customHeight="1">
      <c r="A84" s="18"/>
      <c r="B84" s="18"/>
      <c r="C84" s="18"/>
      <c r="D84" s="18"/>
      <c r="E84" s="3"/>
      <c r="F84" s="3"/>
      <c r="G84" s="3"/>
      <c r="H84" s="3"/>
      <c r="I84" s="3"/>
      <c r="J84" s="3"/>
      <c r="K84" s="3"/>
      <c r="L84" s="3"/>
      <c r="M84" s="3"/>
      <c r="N84" s="5"/>
      <c r="O84" s="3"/>
      <c r="P84" s="3"/>
    </row>
    <row r="85" spans="1:16" ht="26.1" customHeight="1">
      <c r="A85" s="18"/>
      <c r="B85" s="18"/>
      <c r="C85" s="18"/>
      <c r="D85" s="18"/>
      <c r="E85" s="3"/>
      <c r="F85" s="3"/>
      <c r="G85" s="3"/>
      <c r="H85" s="3"/>
      <c r="I85" s="3"/>
      <c r="J85" s="3"/>
      <c r="K85" s="3"/>
      <c r="L85" s="3"/>
      <c r="M85" s="3"/>
      <c r="N85" s="5"/>
      <c r="O85" s="3"/>
      <c r="P85" s="3"/>
    </row>
    <row r="86" spans="1:16" ht="26.1" customHeight="1">
      <c r="A86" s="18"/>
      <c r="B86" s="18"/>
      <c r="C86" s="18"/>
      <c r="D86" s="18"/>
      <c r="E86" s="3"/>
      <c r="F86" s="3"/>
      <c r="G86" s="3"/>
      <c r="H86" s="3"/>
      <c r="I86" s="3"/>
      <c r="J86" s="3"/>
      <c r="K86" s="3"/>
      <c r="L86" s="3"/>
      <c r="M86" s="3"/>
      <c r="N86" s="5"/>
      <c r="O86" s="3"/>
      <c r="P86" s="3"/>
    </row>
    <row r="87" spans="1:16" ht="26.1" customHeight="1">
      <c r="A87" s="18"/>
      <c r="B87" s="18"/>
      <c r="C87" s="18"/>
      <c r="D87" s="18"/>
      <c r="E87" s="3"/>
      <c r="F87" s="3"/>
      <c r="G87" s="3"/>
      <c r="H87" s="3"/>
      <c r="I87" s="3"/>
      <c r="J87" s="3"/>
      <c r="K87" s="3"/>
      <c r="L87" s="3"/>
      <c r="M87" s="3"/>
      <c r="N87" s="5"/>
      <c r="O87" s="3"/>
      <c r="P87" s="3"/>
    </row>
    <row r="88" spans="1:16" ht="26.1" customHeight="1">
      <c r="A88" s="18"/>
      <c r="B88" s="18"/>
      <c r="C88" s="18"/>
      <c r="D88" s="18"/>
      <c r="E88" s="3"/>
      <c r="F88" s="3"/>
      <c r="G88" s="3"/>
      <c r="H88" s="3"/>
      <c r="I88" s="3"/>
      <c r="J88" s="3"/>
      <c r="K88" s="3"/>
      <c r="L88" s="3"/>
      <c r="M88" s="3"/>
      <c r="N88" s="5"/>
      <c r="O88" s="3"/>
      <c r="P88" s="3"/>
    </row>
    <row r="89" spans="1:16" ht="26.1" customHeight="1">
      <c r="A89" s="18"/>
      <c r="B89" s="18"/>
      <c r="C89" s="18"/>
      <c r="D89" s="18"/>
      <c r="E89" s="3"/>
      <c r="F89" s="3"/>
      <c r="G89" s="3"/>
      <c r="H89" s="3"/>
      <c r="I89" s="3"/>
      <c r="J89" s="3"/>
      <c r="K89" s="3"/>
      <c r="L89" s="3"/>
      <c r="M89" s="3"/>
      <c r="N89" s="5"/>
      <c r="O89" s="3"/>
      <c r="P89" s="3"/>
    </row>
    <row r="90" spans="1:16" ht="26.1" customHeight="1">
      <c r="A90" s="18"/>
      <c r="B90" s="18"/>
      <c r="C90" s="18"/>
      <c r="D90" s="18"/>
      <c r="E90" s="3"/>
      <c r="F90" s="3"/>
      <c r="G90" s="3"/>
      <c r="H90" s="3"/>
      <c r="I90" s="3"/>
      <c r="J90" s="3"/>
      <c r="K90" s="3"/>
      <c r="L90" s="3"/>
      <c r="M90" s="3"/>
      <c r="N90" s="5"/>
      <c r="O90" s="3"/>
      <c r="P90" s="3"/>
    </row>
    <row r="91" spans="1:16" ht="26.1" customHeight="1">
      <c r="A91" s="18"/>
      <c r="B91" s="18"/>
      <c r="C91" s="18"/>
      <c r="D91" s="18"/>
      <c r="E91" s="3"/>
      <c r="F91" s="3"/>
      <c r="G91" s="3"/>
      <c r="H91" s="3"/>
      <c r="I91" s="3"/>
      <c r="J91" s="3"/>
      <c r="K91" s="3"/>
      <c r="L91" s="3"/>
      <c r="M91" s="3"/>
      <c r="N91" s="5"/>
      <c r="O91" s="3"/>
      <c r="P91" s="3"/>
    </row>
    <row r="92" spans="1:16" ht="26.1" customHeight="1">
      <c r="A92" s="18"/>
      <c r="B92" s="18"/>
      <c r="C92" s="18"/>
      <c r="D92" s="18"/>
      <c r="E92" s="3"/>
      <c r="F92" s="3"/>
      <c r="G92" s="3"/>
      <c r="H92" s="3"/>
      <c r="I92" s="3"/>
      <c r="J92" s="3"/>
      <c r="K92" s="3"/>
      <c r="L92" s="3"/>
      <c r="M92" s="3"/>
      <c r="N92" s="5"/>
      <c r="O92" s="3"/>
      <c r="P92" s="3"/>
    </row>
    <row r="93" spans="1:16" ht="26.1" customHeight="1">
      <c r="A93" s="18"/>
      <c r="B93" s="18"/>
      <c r="C93" s="18"/>
      <c r="D93" s="18"/>
      <c r="E93" s="3"/>
      <c r="F93" s="3"/>
      <c r="G93" s="3"/>
      <c r="H93" s="3"/>
      <c r="I93" s="3"/>
      <c r="J93" s="3"/>
      <c r="K93" s="3"/>
      <c r="L93" s="3"/>
      <c r="M93" s="3"/>
      <c r="N93" s="5"/>
      <c r="O93" s="3"/>
      <c r="P93" s="3"/>
    </row>
    <row r="94" spans="1:16" ht="26.1" customHeight="1">
      <c r="A94" s="18"/>
      <c r="B94" s="18"/>
      <c r="C94" s="18"/>
      <c r="D94" s="18"/>
      <c r="E94" s="3"/>
      <c r="F94" s="3"/>
      <c r="G94" s="3"/>
      <c r="H94" s="3"/>
      <c r="I94" s="3"/>
      <c r="J94" s="3"/>
      <c r="K94" s="3"/>
      <c r="L94" s="3"/>
      <c r="M94" s="3"/>
      <c r="N94" s="5"/>
      <c r="O94" s="3"/>
      <c r="P94" s="3"/>
    </row>
    <row r="95" spans="1:16" ht="26.1" customHeight="1">
      <c r="A95" s="18"/>
      <c r="B95" s="18"/>
      <c r="C95" s="18"/>
      <c r="D95" s="18"/>
      <c r="E95" s="3"/>
      <c r="F95" s="3"/>
      <c r="G95" s="3"/>
      <c r="H95" s="3"/>
      <c r="I95" s="3"/>
      <c r="J95" s="3"/>
      <c r="K95" s="3"/>
      <c r="L95" s="3"/>
      <c r="M95" s="3"/>
      <c r="N95" s="5"/>
      <c r="O95" s="3"/>
      <c r="P95" s="3"/>
    </row>
    <row r="96" spans="1:16" ht="26.1" customHeight="1">
      <c r="A96" s="18"/>
      <c r="B96" s="18"/>
      <c r="C96" s="18"/>
      <c r="D96" s="18"/>
      <c r="E96" s="3"/>
      <c r="F96" s="3"/>
      <c r="G96" s="3"/>
      <c r="H96" s="3"/>
      <c r="I96" s="3"/>
      <c r="J96" s="3"/>
      <c r="K96" s="3"/>
      <c r="L96" s="3"/>
      <c r="M96" s="3"/>
      <c r="N96" s="5"/>
      <c r="O96" s="3"/>
      <c r="P96" s="3"/>
    </row>
    <row r="97" spans="1:16" ht="26.1" customHeight="1">
      <c r="A97" s="18"/>
      <c r="B97" s="18"/>
      <c r="C97" s="18"/>
      <c r="D97" s="18"/>
      <c r="E97" s="3"/>
      <c r="F97" s="3"/>
      <c r="G97" s="3"/>
      <c r="H97" s="3"/>
      <c r="I97" s="3"/>
      <c r="J97" s="3"/>
      <c r="K97" s="3"/>
      <c r="L97" s="3"/>
      <c r="M97" s="3"/>
      <c r="N97" s="5"/>
      <c r="O97" s="3"/>
      <c r="P97" s="3"/>
    </row>
    <row r="98" spans="1:16" ht="26.1" customHeight="1">
      <c r="A98" s="18"/>
      <c r="B98" s="18"/>
      <c r="C98" s="18"/>
      <c r="D98" s="18"/>
      <c r="E98" s="3"/>
      <c r="F98" s="3"/>
      <c r="G98" s="3"/>
      <c r="H98" s="3"/>
      <c r="I98" s="3"/>
      <c r="J98" s="3"/>
      <c r="K98" s="3"/>
      <c r="L98" s="3"/>
      <c r="M98" s="3"/>
      <c r="N98" s="5"/>
      <c r="O98" s="3"/>
      <c r="P98" s="3"/>
    </row>
    <row r="99" spans="1:16" ht="26.1" customHeight="1">
      <c r="A99" s="18"/>
      <c r="B99" s="18"/>
      <c r="C99" s="18"/>
      <c r="D99" s="18"/>
      <c r="E99" s="3"/>
      <c r="F99" s="3"/>
      <c r="G99" s="3"/>
      <c r="H99" s="3"/>
      <c r="I99" s="3"/>
      <c r="J99" s="3"/>
      <c r="K99" s="3"/>
      <c r="L99" s="3"/>
      <c r="M99" s="3"/>
      <c r="N99" s="5"/>
      <c r="O99" s="3"/>
      <c r="P99" s="3"/>
    </row>
    <row r="100" spans="1:16" ht="26.1" customHeight="1">
      <c r="A100" s="18"/>
      <c r="B100" s="18"/>
      <c r="C100" s="18"/>
      <c r="D100" s="18"/>
      <c r="E100" s="3"/>
      <c r="F100" s="3"/>
      <c r="G100" s="3"/>
      <c r="H100" s="3"/>
      <c r="I100" s="3"/>
      <c r="J100" s="3"/>
      <c r="K100" s="3"/>
      <c r="L100" s="3"/>
      <c r="M100" s="3"/>
      <c r="N100" s="5"/>
      <c r="O100" s="3"/>
      <c r="P100" s="3"/>
    </row>
    <row r="101" spans="1:16" ht="26.1" customHeight="1">
      <c r="A101" s="18"/>
      <c r="B101" s="18"/>
      <c r="C101" s="18"/>
      <c r="D101" s="18"/>
      <c r="E101" s="3"/>
      <c r="F101" s="3"/>
      <c r="G101" s="3"/>
      <c r="H101" s="3"/>
      <c r="I101" s="3"/>
      <c r="J101" s="3"/>
      <c r="K101" s="3"/>
      <c r="L101" s="3"/>
      <c r="M101" s="3"/>
      <c r="N101" s="5"/>
      <c r="O101" s="3"/>
      <c r="P101" s="3"/>
    </row>
    <row r="102" spans="1:16" ht="26.1" customHeight="1">
      <c r="A102" s="18"/>
      <c r="B102" s="18"/>
      <c r="C102" s="18"/>
      <c r="D102" s="18"/>
      <c r="E102" s="3"/>
      <c r="F102" s="3"/>
      <c r="G102" s="3"/>
      <c r="H102" s="3"/>
      <c r="I102" s="3"/>
      <c r="J102" s="3"/>
      <c r="K102" s="3"/>
      <c r="L102" s="3"/>
      <c r="M102" s="3"/>
      <c r="N102" s="5"/>
      <c r="O102" s="3"/>
      <c r="P102" s="3"/>
    </row>
    <row r="103" spans="1:16" ht="26.1" customHeight="1">
      <c r="A103" s="18"/>
      <c r="B103" s="18"/>
      <c r="C103" s="18"/>
      <c r="D103" s="18"/>
      <c r="E103" s="3"/>
      <c r="F103" s="3"/>
      <c r="G103" s="3"/>
      <c r="H103" s="3"/>
      <c r="I103" s="3"/>
      <c r="J103" s="3"/>
      <c r="K103" s="3"/>
      <c r="L103" s="3"/>
      <c r="M103" s="3"/>
      <c r="N103" s="5"/>
      <c r="O103" s="3"/>
      <c r="P103" s="3"/>
    </row>
    <row r="104" spans="1:16" ht="26.1" customHeight="1">
      <c r="A104" s="18"/>
      <c r="B104" s="18"/>
      <c r="C104" s="18"/>
      <c r="D104" s="18"/>
      <c r="E104" s="3"/>
      <c r="F104" s="3"/>
      <c r="G104" s="3"/>
      <c r="H104" s="3"/>
      <c r="I104" s="3"/>
      <c r="J104" s="3"/>
      <c r="K104" s="3"/>
      <c r="L104" s="3"/>
      <c r="M104" s="3"/>
      <c r="N104" s="5"/>
      <c r="O104" s="3"/>
      <c r="P104" s="3"/>
    </row>
    <row r="105" spans="1:16" ht="26.1" customHeight="1">
      <c r="A105" s="18"/>
      <c r="B105" s="18"/>
      <c r="C105" s="18"/>
      <c r="D105" s="18"/>
      <c r="E105" s="3"/>
      <c r="F105" s="3"/>
      <c r="G105" s="3"/>
      <c r="H105" s="3"/>
      <c r="I105" s="3"/>
      <c r="J105" s="3"/>
      <c r="K105" s="3"/>
      <c r="L105" s="3"/>
      <c r="M105" s="3"/>
      <c r="N105" s="5"/>
      <c r="O105" s="3"/>
      <c r="P105" s="3"/>
    </row>
    <row r="106" spans="1:16" ht="26.1" customHeight="1">
      <c r="A106" s="18"/>
      <c r="B106" s="18"/>
      <c r="C106" s="18"/>
      <c r="D106" s="18"/>
      <c r="E106" s="3"/>
      <c r="F106" s="3"/>
      <c r="G106" s="3"/>
      <c r="H106" s="3"/>
      <c r="I106" s="3"/>
      <c r="J106" s="3"/>
      <c r="K106" s="3"/>
      <c r="L106" s="3"/>
      <c r="M106" s="3"/>
      <c r="N106" s="5"/>
      <c r="O106" s="3"/>
      <c r="P106" s="3"/>
    </row>
    <row r="107" spans="1:16">
      <c r="A107" s="18"/>
      <c r="B107" s="18"/>
      <c r="C107" s="18"/>
      <c r="D107" s="18"/>
      <c r="E107" s="22"/>
      <c r="F107" s="22"/>
      <c r="G107" s="22"/>
      <c r="H107" s="22"/>
      <c r="I107" s="22"/>
      <c r="J107" s="22"/>
      <c r="K107" s="22"/>
      <c r="L107" s="22"/>
      <c r="M107" s="22"/>
      <c r="N107" s="22"/>
      <c r="O107" s="22"/>
      <c r="P107" s="22"/>
    </row>
    <row r="108" spans="1:16">
      <c r="A108" s="18"/>
      <c r="B108" s="18"/>
      <c r="C108" s="18"/>
      <c r="D108" s="18"/>
      <c r="E108" s="22"/>
      <c r="F108" s="22"/>
      <c r="G108" s="22"/>
      <c r="H108" s="22"/>
      <c r="I108" s="22"/>
      <c r="J108" s="22"/>
      <c r="K108" s="22"/>
      <c r="L108" s="22"/>
      <c r="M108" s="22"/>
      <c r="N108" s="22"/>
      <c r="O108" s="22"/>
      <c r="P108" s="22"/>
    </row>
    <row r="109" spans="1:16">
      <c r="A109" s="18"/>
      <c r="B109" s="18"/>
      <c r="C109" s="18"/>
      <c r="D109" s="18"/>
      <c r="E109" s="22"/>
      <c r="F109" s="22"/>
      <c r="G109" s="22"/>
      <c r="H109" s="22"/>
      <c r="I109" s="22"/>
      <c r="J109" s="22"/>
      <c r="K109" s="22"/>
      <c r="L109" s="22"/>
      <c r="M109" s="22"/>
      <c r="N109" s="22"/>
      <c r="O109" s="22"/>
      <c r="P109" s="22"/>
    </row>
    <row r="110" spans="1:16">
      <c r="A110" s="18"/>
      <c r="B110" s="18"/>
      <c r="C110" s="18"/>
      <c r="D110" s="18"/>
      <c r="E110" s="22"/>
      <c r="F110" s="22"/>
      <c r="G110" s="22"/>
      <c r="H110" s="22"/>
      <c r="I110" s="22"/>
      <c r="J110" s="22"/>
      <c r="K110" s="22"/>
      <c r="L110" s="22"/>
      <c r="M110" s="22"/>
      <c r="N110" s="22"/>
      <c r="O110" s="22"/>
      <c r="P110" s="22"/>
    </row>
  </sheetData>
  <mergeCells count="1">
    <mergeCell ref="E5:P5"/>
  </mergeCells>
  <phoneticPr fontId="36" type="noConversion"/>
  <conditionalFormatting sqref="E7:E106">
    <cfRule type="expression" dxfId="15" priority="1">
      <formula>AND(E7&lt;&gt;"",COUNTIFS($E$7:$E$106,E7)&gt;1)</formula>
    </cfRule>
  </conditionalFormatting>
  <conditionalFormatting sqref="J7:K106">
    <cfRule type="cellIs" dxfId="14" priority="2" operator="equal">
      <formula>"Effective"</formula>
    </cfRule>
    <cfRule type="cellIs" dxfId="13" priority="3" operator="equal">
      <formula>"Partially effective"</formula>
    </cfRule>
    <cfRule type="cellIs" dxfId="12" priority="4" operator="equal">
      <formula>"Ineffective"</formula>
    </cfRule>
    <cfRule type="cellIs" dxfId="11" priority="5" operator="equal">
      <formula>"Not assessed"</formula>
    </cfRule>
  </conditionalFormatting>
  <conditionalFormatting sqref="O7:O106">
    <cfRule type="cellIs" dxfId="10" priority="6" operator="equal">
      <formula>"Pending validation"</formula>
    </cfRule>
    <cfRule type="cellIs" dxfId="9" priority="7" operator="equal">
      <formula>"Validated"</formula>
    </cfRule>
    <cfRule type="cellIs" dxfId="8" priority="8" operator="equal">
      <formula>"Rejected"</formula>
    </cfRule>
  </conditionalFormatting>
  <dataValidations count="3">
    <dataValidation type="list" allowBlank="1" showErrorMessage="1" errorTitle="Select an allowed option" error="Choose a dropdown value or leave an unknown input blank." sqref="J7:K106" xr:uid="{00000000-0002-0000-0200-000000000000}">
      <formula1>"Not assessed,Effective,Partially effective,Ineffective,Not applicable"</formula1>
    </dataValidation>
    <dataValidation type="list" allowBlank="1" showErrorMessage="1" errorTitle="Select an allowed option" error="Choose a dropdown value or leave an unknown input blank." sqref="O7:O106" xr:uid="{00000000-0002-0000-0200-000001000000}">
      <formula1>"Pending validation,Validated,Rejected"</formula1>
    </dataValidation>
    <dataValidation type="list" allowBlank="1" showErrorMessage="1" errorTitle="Select an allowed option" error="Choose a dropdown value or leave an unknown input blank." sqref="F7:F106" xr:uid="{00000000-0002-0000-0200-000002000000}">
      <formula1>RiskIDs</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02F47"/>
  </sheetPr>
  <dimension ref="A1:R110"/>
  <sheetViews>
    <sheetView showGridLines="0" zoomScale="85" zoomScaleNormal="85" workbookViewId="0">
      <pane xSplit="6" ySplit="6" topLeftCell="G7" activePane="bottomRight" state="frozen"/>
      <selection pane="topRight"/>
      <selection pane="bottomLeft"/>
      <selection pane="bottomRight"/>
    </sheetView>
  </sheetViews>
  <sheetFormatPr defaultRowHeight="14.25"/>
  <cols>
    <col min="1" max="4" width="7.25" customWidth="1"/>
    <col min="5" max="5" width="15" customWidth="1"/>
    <col min="6" max="6" width="13" customWidth="1"/>
    <col min="7" max="7" width="15" customWidth="1"/>
    <col min="8" max="8" width="45" customWidth="1"/>
    <col min="9" max="9" width="46" customWidth="1"/>
    <col min="10" max="10" width="26" customWidth="1"/>
    <col min="11" max="13" width="18" customWidth="1"/>
    <col min="14" max="14" width="23" customWidth="1"/>
    <col min="15" max="15" width="40" customWidth="1"/>
    <col min="16" max="16" width="24" customWidth="1"/>
    <col min="17" max="17" width="22" customWidth="1"/>
    <col min="18" max="18" width="48" customWidth="1"/>
  </cols>
  <sheetData>
    <row r="1" spans="1:18" ht="28.5" customHeight="1">
      <c r="A1" s="18"/>
      <c r="B1" s="18"/>
      <c r="C1" s="18"/>
      <c r="D1" s="18"/>
      <c r="E1" s="14"/>
      <c r="F1" s="14"/>
      <c r="G1" s="14"/>
      <c r="H1" s="14"/>
      <c r="I1" s="14"/>
      <c r="J1" s="14"/>
      <c r="K1" s="14"/>
      <c r="L1" s="14"/>
      <c r="M1" s="14"/>
      <c r="N1" s="14"/>
      <c r="O1" s="14"/>
      <c r="P1" s="14"/>
      <c r="Q1" s="14"/>
      <c r="R1" s="14"/>
    </row>
    <row r="2" spans="1:18" ht="28.5" customHeight="1">
      <c r="A2" s="18"/>
      <c r="B2" s="18"/>
      <c r="C2" s="18"/>
      <c r="D2" s="18"/>
      <c r="E2" s="14"/>
      <c r="F2" s="14"/>
      <c r="G2" s="14"/>
      <c r="H2" s="14"/>
      <c r="I2" s="14"/>
      <c r="J2" s="14"/>
      <c r="K2" s="14"/>
      <c r="L2" s="14"/>
      <c r="M2" s="14"/>
      <c r="N2" s="14"/>
      <c r="O2" s="14"/>
      <c r="P2" s="14"/>
      <c r="Q2" s="14"/>
      <c r="R2" s="14"/>
    </row>
    <row r="3" spans="1:18" ht="15" customHeight="1">
      <c r="A3" s="18"/>
      <c r="B3" s="18"/>
      <c r="C3" s="18"/>
      <c r="D3" s="18"/>
      <c r="E3" s="15"/>
      <c r="F3" s="15"/>
      <c r="G3" s="15"/>
      <c r="H3" s="15"/>
      <c r="I3" s="15"/>
      <c r="J3" s="15"/>
      <c r="K3" s="15"/>
      <c r="L3" s="15"/>
      <c r="M3" s="15"/>
      <c r="N3" s="15"/>
      <c r="O3" s="15"/>
      <c r="P3" s="15"/>
      <c r="Q3" s="15"/>
      <c r="R3" s="15"/>
    </row>
    <row r="4" spans="1:18" ht="15" customHeight="1">
      <c r="A4" s="18"/>
      <c r="B4" s="18"/>
      <c r="C4" s="18"/>
      <c r="D4" s="18"/>
      <c r="E4" s="15"/>
      <c r="F4" s="15"/>
      <c r="G4" s="15"/>
      <c r="H4" s="15"/>
      <c r="I4" s="15"/>
      <c r="J4" s="15"/>
      <c r="K4" s="15"/>
      <c r="L4" s="15"/>
      <c r="M4" s="15"/>
      <c r="N4" s="15"/>
      <c r="O4" s="15"/>
      <c r="P4" s="15"/>
      <c r="Q4" s="15"/>
      <c r="R4" s="15"/>
    </row>
    <row r="5" spans="1:18" ht="21" customHeight="1">
      <c r="A5" s="18"/>
      <c r="B5" s="18"/>
      <c r="C5" s="18"/>
      <c r="D5" s="18"/>
      <c r="E5" s="28" t="s">
        <v>230</v>
      </c>
      <c r="F5" s="28"/>
      <c r="G5" s="28"/>
      <c r="H5" s="28"/>
      <c r="I5" s="28"/>
      <c r="J5" s="28"/>
      <c r="K5" s="28"/>
      <c r="L5" s="28"/>
      <c r="M5" s="28"/>
      <c r="N5" s="28"/>
      <c r="O5" s="28"/>
      <c r="P5" s="28"/>
      <c r="Q5" s="28"/>
      <c r="R5" s="28"/>
    </row>
    <row r="6" spans="1:18" ht="45.95" customHeight="1">
      <c r="A6" s="18"/>
      <c r="B6" s="18"/>
      <c r="C6" s="18"/>
      <c r="D6" s="18"/>
      <c r="E6" s="2" t="s">
        <v>83</v>
      </c>
      <c r="F6" s="2" t="s">
        <v>28</v>
      </c>
      <c r="G6" s="2" t="s">
        <v>63</v>
      </c>
      <c r="H6" s="2" t="s">
        <v>84</v>
      </c>
      <c r="I6" s="2" t="s">
        <v>85</v>
      </c>
      <c r="J6" s="2" t="s">
        <v>86</v>
      </c>
      <c r="K6" s="2" t="s">
        <v>87</v>
      </c>
      <c r="L6" s="2" t="s">
        <v>88</v>
      </c>
      <c r="M6" s="2" t="s">
        <v>89</v>
      </c>
      <c r="N6" s="2" t="s">
        <v>90</v>
      </c>
      <c r="O6" s="2" t="s">
        <v>91</v>
      </c>
      <c r="P6" s="2" t="s">
        <v>92</v>
      </c>
      <c r="Q6" s="2" t="s">
        <v>40</v>
      </c>
      <c r="R6" s="2" t="s">
        <v>93</v>
      </c>
    </row>
    <row r="7" spans="1:18" ht="71.25">
      <c r="A7" s="18"/>
      <c r="B7" s="18"/>
      <c r="C7" s="18"/>
      <c r="D7" s="18"/>
      <c r="E7" s="3" t="s">
        <v>75</v>
      </c>
      <c r="F7" s="3" t="s">
        <v>49</v>
      </c>
      <c r="G7" s="3" t="s">
        <v>72</v>
      </c>
      <c r="H7" s="24" t="s">
        <v>94</v>
      </c>
      <c r="I7" s="3" t="s">
        <v>95</v>
      </c>
      <c r="J7" s="24" t="s">
        <v>96</v>
      </c>
      <c r="K7" s="5"/>
      <c r="L7" s="5"/>
      <c r="M7" s="5"/>
      <c r="N7" s="3" t="s">
        <v>97</v>
      </c>
      <c r="O7" s="3"/>
      <c r="P7" s="3"/>
      <c r="Q7" s="3" t="s">
        <v>56</v>
      </c>
      <c r="R7" s="3" t="s">
        <v>98</v>
      </c>
    </row>
    <row r="8" spans="1:18" ht="57">
      <c r="A8" s="18"/>
      <c r="B8" s="18"/>
      <c r="C8" s="18"/>
      <c r="D8" s="18"/>
      <c r="E8" s="3" t="s">
        <v>81</v>
      </c>
      <c r="F8" s="3" t="s">
        <v>58</v>
      </c>
      <c r="G8" s="3" t="s">
        <v>77</v>
      </c>
      <c r="H8" s="3" t="s">
        <v>99</v>
      </c>
      <c r="I8" s="3" t="s">
        <v>100</v>
      </c>
      <c r="J8" s="24" t="s">
        <v>101</v>
      </c>
      <c r="K8" s="5"/>
      <c r="L8" s="5"/>
      <c r="M8" s="5"/>
      <c r="N8" s="3" t="s">
        <v>97</v>
      </c>
      <c r="O8" s="3"/>
      <c r="P8" s="3"/>
      <c r="Q8" s="3" t="s">
        <v>56</v>
      </c>
      <c r="R8" s="3" t="s">
        <v>102</v>
      </c>
    </row>
    <row r="9" spans="1:18" ht="114">
      <c r="A9" s="18"/>
      <c r="B9" s="18"/>
      <c r="C9" s="18"/>
      <c r="D9" s="18"/>
      <c r="E9" s="3" t="s">
        <v>195</v>
      </c>
      <c r="F9" s="3" t="s">
        <v>185</v>
      </c>
      <c r="G9" s="3" t="s">
        <v>191</v>
      </c>
      <c r="H9" s="24" t="s">
        <v>197</v>
      </c>
      <c r="I9" s="24" t="s">
        <v>226</v>
      </c>
      <c r="J9" s="24" t="s">
        <v>198</v>
      </c>
      <c r="K9" s="5"/>
      <c r="L9" s="5"/>
      <c r="M9" s="5"/>
      <c r="N9" s="3" t="s">
        <v>97</v>
      </c>
      <c r="O9" s="3"/>
      <c r="P9" s="3"/>
      <c r="Q9" s="3" t="s">
        <v>56</v>
      </c>
      <c r="R9" s="3" t="s">
        <v>199</v>
      </c>
    </row>
    <row r="10" spans="1:18" ht="114">
      <c r="A10" s="18"/>
      <c r="B10" s="18"/>
      <c r="C10" s="18"/>
      <c r="D10" s="18"/>
      <c r="E10" s="3" t="s">
        <v>208</v>
      </c>
      <c r="F10" s="3" t="s">
        <v>203</v>
      </c>
      <c r="G10" s="3" t="s">
        <v>212</v>
      </c>
      <c r="H10" s="3" t="s">
        <v>217</v>
      </c>
      <c r="I10" s="3" t="s">
        <v>218</v>
      </c>
      <c r="J10" s="3" t="s">
        <v>219</v>
      </c>
      <c r="K10" s="5"/>
      <c r="L10" s="5"/>
      <c r="M10" s="5"/>
      <c r="N10" s="3" t="s">
        <v>97</v>
      </c>
      <c r="O10" s="3"/>
      <c r="P10" s="3"/>
      <c r="Q10" s="3" t="s">
        <v>56</v>
      </c>
      <c r="R10" s="3" t="s">
        <v>220</v>
      </c>
    </row>
    <row r="11" spans="1:18" ht="26.1" customHeight="1">
      <c r="A11" s="18"/>
      <c r="B11" s="18"/>
      <c r="C11" s="18"/>
      <c r="D11" s="18"/>
      <c r="E11" s="3"/>
      <c r="F11" s="3"/>
      <c r="G11" s="3"/>
      <c r="H11" s="3"/>
      <c r="I11" s="3"/>
      <c r="J11" s="3"/>
      <c r="K11" s="5"/>
      <c r="L11" s="5"/>
      <c r="M11" s="5"/>
      <c r="N11" s="3"/>
      <c r="O11" s="3"/>
      <c r="P11" s="3"/>
      <c r="Q11" s="3"/>
      <c r="R11" s="3"/>
    </row>
    <row r="12" spans="1:18" ht="26.1" customHeight="1">
      <c r="A12" s="18"/>
      <c r="B12" s="18"/>
      <c r="C12" s="18"/>
      <c r="D12" s="18"/>
      <c r="E12" s="3"/>
      <c r="F12" s="3"/>
      <c r="G12" s="3"/>
      <c r="H12" s="3"/>
      <c r="I12" s="3"/>
      <c r="J12" s="3"/>
      <c r="K12" s="5"/>
      <c r="L12" s="5"/>
      <c r="M12" s="5"/>
      <c r="N12" s="3"/>
      <c r="O12" s="3"/>
      <c r="P12" s="3"/>
      <c r="Q12" s="3"/>
      <c r="R12" s="3"/>
    </row>
    <row r="13" spans="1:18" ht="26.1" customHeight="1">
      <c r="A13" s="18"/>
      <c r="B13" s="18"/>
      <c r="C13" s="18"/>
      <c r="D13" s="18"/>
      <c r="E13" s="3"/>
      <c r="F13" s="3"/>
      <c r="G13" s="3"/>
      <c r="H13" s="3"/>
      <c r="I13" s="3"/>
      <c r="J13" s="3"/>
      <c r="K13" s="5"/>
      <c r="L13" s="5"/>
      <c r="M13" s="5"/>
      <c r="N13" s="3"/>
      <c r="O13" s="3"/>
      <c r="P13" s="3"/>
      <c r="Q13" s="3"/>
      <c r="R13" s="3"/>
    </row>
    <row r="14" spans="1:18" ht="26.1" customHeight="1">
      <c r="A14" s="18"/>
      <c r="B14" s="18"/>
      <c r="C14" s="18"/>
      <c r="D14" s="18"/>
      <c r="E14" s="3"/>
      <c r="F14" s="3"/>
      <c r="G14" s="3"/>
      <c r="H14" s="3"/>
      <c r="I14" s="3"/>
      <c r="J14" s="3"/>
      <c r="K14" s="5"/>
      <c r="L14" s="5"/>
      <c r="M14" s="5"/>
      <c r="N14" s="3"/>
      <c r="O14" s="3"/>
      <c r="P14" s="3"/>
      <c r="Q14" s="3"/>
      <c r="R14" s="3"/>
    </row>
    <row r="15" spans="1:18" ht="26.1" customHeight="1">
      <c r="A15" s="18"/>
      <c r="B15" s="18"/>
      <c r="C15" s="18"/>
      <c r="D15" s="18"/>
      <c r="E15" s="3"/>
      <c r="F15" s="3"/>
      <c r="G15" s="3"/>
      <c r="H15" s="3"/>
      <c r="I15" s="3"/>
      <c r="J15" s="3"/>
      <c r="K15" s="5"/>
      <c r="L15" s="5"/>
      <c r="M15" s="5"/>
      <c r="N15" s="3"/>
      <c r="O15" s="3"/>
      <c r="P15" s="3"/>
      <c r="Q15" s="3"/>
      <c r="R15" s="3"/>
    </row>
    <row r="16" spans="1:18" ht="26.1" customHeight="1">
      <c r="A16" s="18"/>
      <c r="B16" s="18"/>
      <c r="C16" s="18"/>
      <c r="D16" s="18"/>
      <c r="E16" s="3"/>
      <c r="F16" s="3"/>
      <c r="G16" s="3"/>
      <c r="H16" s="3"/>
      <c r="I16" s="3"/>
      <c r="J16" s="3"/>
      <c r="K16" s="5"/>
      <c r="L16" s="5"/>
      <c r="M16" s="5"/>
      <c r="N16" s="3"/>
      <c r="O16" s="3"/>
      <c r="P16" s="3"/>
      <c r="Q16" s="3"/>
      <c r="R16" s="3"/>
    </row>
    <row r="17" spans="1:18" ht="26.1" customHeight="1">
      <c r="A17" s="18"/>
      <c r="B17" s="18"/>
      <c r="C17" s="18"/>
      <c r="D17" s="18"/>
      <c r="E17" s="3"/>
      <c r="F17" s="3"/>
      <c r="G17" s="3"/>
      <c r="H17" s="3"/>
      <c r="I17" s="3"/>
      <c r="J17" s="3"/>
      <c r="K17" s="5"/>
      <c r="L17" s="5"/>
      <c r="M17" s="5"/>
      <c r="N17" s="3"/>
      <c r="O17" s="3"/>
      <c r="P17" s="3"/>
      <c r="Q17" s="3"/>
      <c r="R17" s="3"/>
    </row>
    <row r="18" spans="1:18" ht="26.1" customHeight="1">
      <c r="A18" s="18"/>
      <c r="B18" s="18"/>
      <c r="C18" s="18"/>
      <c r="D18" s="18"/>
      <c r="E18" s="3"/>
      <c r="F18" s="3"/>
      <c r="G18" s="3"/>
      <c r="H18" s="3"/>
      <c r="I18" s="3"/>
      <c r="J18" s="3"/>
      <c r="K18" s="5"/>
      <c r="L18" s="5"/>
      <c r="M18" s="5"/>
      <c r="N18" s="3"/>
      <c r="O18" s="3"/>
      <c r="P18" s="3"/>
      <c r="Q18" s="3"/>
      <c r="R18" s="3"/>
    </row>
    <row r="19" spans="1:18" ht="26.1" customHeight="1">
      <c r="A19" s="18"/>
      <c r="B19" s="18"/>
      <c r="C19" s="18"/>
      <c r="D19" s="18"/>
      <c r="E19" s="3"/>
      <c r="F19" s="3"/>
      <c r="G19" s="3"/>
      <c r="H19" s="3"/>
      <c r="I19" s="3"/>
      <c r="J19" s="3"/>
      <c r="K19" s="5"/>
      <c r="L19" s="5"/>
      <c r="M19" s="5"/>
      <c r="N19" s="3"/>
      <c r="O19" s="3"/>
      <c r="P19" s="3"/>
      <c r="Q19" s="3"/>
      <c r="R19" s="3"/>
    </row>
    <row r="20" spans="1:18" ht="26.1" customHeight="1">
      <c r="A20" s="18"/>
      <c r="B20" s="18"/>
      <c r="C20" s="18"/>
      <c r="D20" s="18"/>
      <c r="E20" s="3"/>
      <c r="F20" s="3"/>
      <c r="G20" s="3"/>
      <c r="H20" s="3"/>
      <c r="I20" s="3"/>
      <c r="J20" s="3"/>
      <c r="K20" s="5"/>
      <c r="L20" s="5"/>
      <c r="M20" s="5"/>
      <c r="N20" s="3"/>
      <c r="O20" s="3"/>
      <c r="P20" s="3"/>
      <c r="Q20" s="3"/>
      <c r="R20" s="3"/>
    </row>
    <row r="21" spans="1:18" ht="26.1" customHeight="1">
      <c r="A21" s="18"/>
      <c r="B21" s="18"/>
      <c r="C21" s="18"/>
      <c r="D21" s="18"/>
      <c r="E21" s="3"/>
      <c r="F21" s="3"/>
      <c r="G21" s="3"/>
      <c r="H21" s="3"/>
      <c r="I21" s="3"/>
      <c r="J21" s="3"/>
      <c r="K21" s="5"/>
      <c r="L21" s="5"/>
      <c r="M21" s="5"/>
      <c r="N21" s="3"/>
      <c r="O21" s="3"/>
      <c r="P21" s="3"/>
      <c r="Q21" s="3"/>
      <c r="R21" s="3"/>
    </row>
    <row r="22" spans="1:18" ht="26.1" customHeight="1">
      <c r="A22" s="18"/>
      <c r="B22" s="18"/>
      <c r="C22" s="18"/>
      <c r="D22" s="18"/>
      <c r="E22" s="3"/>
      <c r="F22" s="3"/>
      <c r="G22" s="3"/>
      <c r="H22" s="3"/>
      <c r="I22" s="3"/>
      <c r="J22" s="3"/>
      <c r="K22" s="5"/>
      <c r="L22" s="5"/>
      <c r="M22" s="5"/>
      <c r="N22" s="3"/>
      <c r="O22" s="3"/>
      <c r="P22" s="3"/>
      <c r="Q22" s="3"/>
      <c r="R22" s="3"/>
    </row>
    <row r="23" spans="1:18" ht="26.1" customHeight="1">
      <c r="A23" s="18"/>
      <c r="B23" s="18"/>
      <c r="C23" s="18"/>
      <c r="D23" s="18"/>
      <c r="E23" s="3"/>
      <c r="F23" s="3"/>
      <c r="G23" s="3"/>
      <c r="H23" s="3"/>
      <c r="I23" s="3"/>
      <c r="J23" s="3"/>
      <c r="K23" s="5"/>
      <c r="L23" s="5"/>
      <c r="M23" s="5"/>
      <c r="N23" s="3"/>
      <c r="O23" s="3"/>
      <c r="P23" s="3"/>
      <c r="Q23" s="3"/>
      <c r="R23" s="3"/>
    </row>
    <row r="24" spans="1:18" ht="26.1" customHeight="1">
      <c r="A24" s="18"/>
      <c r="B24" s="18"/>
      <c r="C24" s="18"/>
      <c r="D24" s="18"/>
      <c r="E24" s="3"/>
      <c r="F24" s="3"/>
      <c r="G24" s="3"/>
      <c r="H24" s="3"/>
      <c r="I24" s="3"/>
      <c r="J24" s="3"/>
      <c r="K24" s="5"/>
      <c r="L24" s="5"/>
      <c r="M24" s="5"/>
      <c r="N24" s="3"/>
      <c r="O24" s="3"/>
      <c r="P24" s="3"/>
      <c r="Q24" s="3"/>
      <c r="R24" s="3"/>
    </row>
    <row r="25" spans="1:18" ht="26.1" customHeight="1">
      <c r="A25" s="18"/>
      <c r="B25" s="18"/>
      <c r="C25" s="18"/>
      <c r="D25" s="18"/>
      <c r="E25" s="3"/>
      <c r="F25" s="3"/>
      <c r="G25" s="3"/>
      <c r="H25" s="3"/>
      <c r="I25" s="3"/>
      <c r="J25" s="3"/>
      <c r="K25" s="5"/>
      <c r="L25" s="5"/>
      <c r="M25" s="5"/>
      <c r="N25" s="3"/>
      <c r="O25" s="3"/>
      <c r="P25" s="3"/>
      <c r="Q25" s="3"/>
      <c r="R25" s="3"/>
    </row>
    <row r="26" spans="1:18" ht="26.1" customHeight="1">
      <c r="A26" s="18"/>
      <c r="B26" s="18"/>
      <c r="C26" s="18"/>
      <c r="D26" s="18"/>
      <c r="E26" s="3"/>
      <c r="F26" s="3"/>
      <c r="G26" s="3"/>
      <c r="H26" s="3"/>
      <c r="I26" s="3"/>
      <c r="J26" s="3"/>
      <c r="K26" s="5"/>
      <c r="L26" s="5"/>
      <c r="M26" s="5"/>
      <c r="N26" s="3"/>
      <c r="O26" s="3"/>
      <c r="P26" s="3"/>
      <c r="Q26" s="3"/>
      <c r="R26" s="3"/>
    </row>
    <row r="27" spans="1:18" ht="26.1" customHeight="1">
      <c r="A27" s="18"/>
      <c r="B27" s="18"/>
      <c r="C27" s="18"/>
      <c r="D27" s="18"/>
      <c r="E27" s="3"/>
      <c r="F27" s="3"/>
      <c r="G27" s="3"/>
      <c r="H27" s="3"/>
      <c r="I27" s="3"/>
      <c r="J27" s="3"/>
      <c r="K27" s="5"/>
      <c r="L27" s="5"/>
      <c r="M27" s="5"/>
      <c r="N27" s="3"/>
      <c r="O27" s="3"/>
      <c r="P27" s="3"/>
      <c r="Q27" s="3"/>
      <c r="R27" s="3"/>
    </row>
    <row r="28" spans="1:18" ht="26.1" customHeight="1">
      <c r="A28" s="18"/>
      <c r="B28" s="18"/>
      <c r="C28" s="18"/>
      <c r="D28" s="18"/>
      <c r="E28" s="3"/>
      <c r="F28" s="3"/>
      <c r="G28" s="3"/>
      <c r="H28" s="3"/>
      <c r="I28" s="3"/>
      <c r="J28" s="3"/>
      <c r="K28" s="5"/>
      <c r="L28" s="5"/>
      <c r="M28" s="5"/>
      <c r="N28" s="3"/>
      <c r="O28" s="3"/>
      <c r="P28" s="3"/>
      <c r="Q28" s="3"/>
      <c r="R28" s="3"/>
    </row>
    <row r="29" spans="1:18" ht="26.1" customHeight="1">
      <c r="A29" s="18"/>
      <c r="B29" s="18"/>
      <c r="C29" s="18"/>
      <c r="D29" s="18"/>
      <c r="E29" s="3"/>
      <c r="F29" s="3"/>
      <c r="G29" s="3"/>
      <c r="H29" s="3"/>
      <c r="I29" s="3"/>
      <c r="J29" s="3"/>
      <c r="K29" s="5"/>
      <c r="L29" s="5"/>
      <c r="M29" s="5"/>
      <c r="N29" s="3"/>
      <c r="O29" s="3"/>
      <c r="P29" s="3"/>
      <c r="Q29" s="3"/>
      <c r="R29" s="3"/>
    </row>
    <row r="30" spans="1:18" ht="26.1" customHeight="1">
      <c r="A30" s="18"/>
      <c r="B30" s="18"/>
      <c r="C30" s="18"/>
      <c r="D30" s="18"/>
      <c r="E30" s="3"/>
      <c r="F30" s="3"/>
      <c r="G30" s="3"/>
      <c r="H30" s="3"/>
      <c r="I30" s="3"/>
      <c r="J30" s="3"/>
      <c r="K30" s="5"/>
      <c r="L30" s="5"/>
      <c r="M30" s="5"/>
      <c r="N30" s="3"/>
      <c r="O30" s="3"/>
      <c r="P30" s="3"/>
      <c r="Q30" s="3"/>
      <c r="R30" s="3"/>
    </row>
    <row r="31" spans="1:18" ht="26.1" customHeight="1">
      <c r="A31" s="18"/>
      <c r="B31" s="18"/>
      <c r="C31" s="18"/>
      <c r="D31" s="18"/>
      <c r="E31" s="3"/>
      <c r="F31" s="3"/>
      <c r="G31" s="3"/>
      <c r="H31" s="3"/>
      <c r="I31" s="3"/>
      <c r="J31" s="3"/>
      <c r="K31" s="5"/>
      <c r="L31" s="5"/>
      <c r="M31" s="5"/>
      <c r="N31" s="3"/>
      <c r="O31" s="3"/>
      <c r="P31" s="3"/>
      <c r="Q31" s="3"/>
      <c r="R31" s="3"/>
    </row>
    <row r="32" spans="1:18" ht="26.1" customHeight="1">
      <c r="A32" s="18"/>
      <c r="B32" s="18"/>
      <c r="C32" s="18"/>
      <c r="D32" s="18"/>
      <c r="E32" s="3"/>
      <c r="F32" s="3"/>
      <c r="G32" s="3"/>
      <c r="H32" s="3"/>
      <c r="I32" s="3"/>
      <c r="J32" s="3"/>
      <c r="K32" s="5"/>
      <c r="L32" s="5"/>
      <c r="M32" s="5"/>
      <c r="N32" s="3"/>
      <c r="O32" s="3"/>
      <c r="P32" s="3"/>
      <c r="Q32" s="3"/>
      <c r="R32" s="3"/>
    </row>
    <row r="33" spans="1:18" ht="26.1" customHeight="1">
      <c r="A33" s="18"/>
      <c r="B33" s="18"/>
      <c r="C33" s="18"/>
      <c r="D33" s="18"/>
      <c r="E33" s="3"/>
      <c r="F33" s="3"/>
      <c r="G33" s="3"/>
      <c r="H33" s="3"/>
      <c r="I33" s="3"/>
      <c r="J33" s="3"/>
      <c r="K33" s="5"/>
      <c r="L33" s="5"/>
      <c r="M33" s="5"/>
      <c r="N33" s="3"/>
      <c r="O33" s="3"/>
      <c r="P33" s="3"/>
      <c r="Q33" s="3"/>
      <c r="R33" s="3"/>
    </row>
    <row r="34" spans="1:18" ht="26.1" customHeight="1">
      <c r="A34" s="18"/>
      <c r="B34" s="18"/>
      <c r="C34" s="18"/>
      <c r="D34" s="18"/>
      <c r="E34" s="3"/>
      <c r="F34" s="3"/>
      <c r="G34" s="3"/>
      <c r="H34" s="3"/>
      <c r="I34" s="3"/>
      <c r="J34" s="3"/>
      <c r="K34" s="5"/>
      <c r="L34" s="5"/>
      <c r="M34" s="5"/>
      <c r="N34" s="3"/>
      <c r="O34" s="3"/>
      <c r="P34" s="3"/>
      <c r="Q34" s="3"/>
      <c r="R34" s="3"/>
    </row>
    <row r="35" spans="1:18" ht="26.1" customHeight="1">
      <c r="A35" s="18"/>
      <c r="B35" s="18"/>
      <c r="C35" s="18"/>
      <c r="D35" s="18"/>
      <c r="E35" s="3"/>
      <c r="F35" s="3"/>
      <c r="G35" s="3"/>
      <c r="H35" s="3"/>
      <c r="I35" s="3"/>
      <c r="J35" s="3"/>
      <c r="K35" s="5"/>
      <c r="L35" s="5"/>
      <c r="M35" s="5"/>
      <c r="N35" s="3"/>
      <c r="O35" s="3"/>
      <c r="P35" s="3"/>
      <c r="Q35" s="3"/>
      <c r="R35" s="3"/>
    </row>
    <row r="36" spans="1:18" ht="26.1" customHeight="1">
      <c r="A36" s="18"/>
      <c r="B36" s="18"/>
      <c r="C36" s="18"/>
      <c r="D36" s="18"/>
      <c r="E36" s="3"/>
      <c r="F36" s="3"/>
      <c r="G36" s="3"/>
      <c r="H36" s="3"/>
      <c r="I36" s="3"/>
      <c r="J36" s="3"/>
      <c r="K36" s="5"/>
      <c r="L36" s="5"/>
      <c r="M36" s="5"/>
      <c r="N36" s="3"/>
      <c r="O36" s="3"/>
      <c r="P36" s="3"/>
      <c r="Q36" s="3"/>
      <c r="R36" s="3"/>
    </row>
    <row r="37" spans="1:18" ht="26.1" customHeight="1">
      <c r="A37" s="18"/>
      <c r="B37" s="18"/>
      <c r="C37" s="18"/>
      <c r="D37" s="18"/>
      <c r="E37" s="3"/>
      <c r="F37" s="3"/>
      <c r="G37" s="3"/>
      <c r="H37" s="3"/>
      <c r="I37" s="3"/>
      <c r="J37" s="3"/>
      <c r="K37" s="5"/>
      <c r="L37" s="5"/>
      <c r="M37" s="5"/>
      <c r="N37" s="3"/>
      <c r="O37" s="3"/>
      <c r="P37" s="3"/>
      <c r="Q37" s="3"/>
      <c r="R37" s="3"/>
    </row>
    <row r="38" spans="1:18" ht="26.1" customHeight="1">
      <c r="A38" s="18"/>
      <c r="B38" s="18"/>
      <c r="C38" s="18"/>
      <c r="D38" s="18"/>
      <c r="E38" s="3"/>
      <c r="F38" s="3"/>
      <c r="G38" s="3"/>
      <c r="H38" s="3"/>
      <c r="I38" s="3"/>
      <c r="J38" s="3"/>
      <c r="K38" s="5"/>
      <c r="L38" s="5"/>
      <c r="M38" s="5"/>
      <c r="N38" s="3"/>
      <c r="O38" s="3"/>
      <c r="P38" s="3"/>
      <c r="Q38" s="3"/>
      <c r="R38" s="3"/>
    </row>
    <row r="39" spans="1:18" ht="26.1" customHeight="1">
      <c r="A39" s="18"/>
      <c r="B39" s="18"/>
      <c r="C39" s="18"/>
      <c r="D39" s="18"/>
      <c r="E39" s="3"/>
      <c r="F39" s="3"/>
      <c r="G39" s="3"/>
      <c r="H39" s="3"/>
      <c r="I39" s="3"/>
      <c r="J39" s="3"/>
      <c r="K39" s="5"/>
      <c r="L39" s="5"/>
      <c r="M39" s="5"/>
      <c r="N39" s="3"/>
      <c r="O39" s="3"/>
      <c r="P39" s="3"/>
      <c r="Q39" s="3"/>
      <c r="R39" s="3"/>
    </row>
    <row r="40" spans="1:18" ht="26.1" customHeight="1">
      <c r="A40" s="18"/>
      <c r="B40" s="18"/>
      <c r="C40" s="18"/>
      <c r="D40" s="18"/>
      <c r="E40" s="3"/>
      <c r="F40" s="3"/>
      <c r="G40" s="3"/>
      <c r="H40" s="3"/>
      <c r="I40" s="3"/>
      <c r="J40" s="3"/>
      <c r="K40" s="5"/>
      <c r="L40" s="5"/>
      <c r="M40" s="5"/>
      <c r="N40" s="3"/>
      <c r="O40" s="3"/>
      <c r="P40" s="3"/>
      <c r="Q40" s="3"/>
      <c r="R40" s="3"/>
    </row>
    <row r="41" spans="1:18" ht="26.1" customHeight="1">
      <c r="A41" s="18"/>
      <c r="B41" s="18"/>
      <c r="C41" s="18"/>
      <c r="D41" s="18"/>
      <c r="E41" s="3"/>
      <c r="F41" s="3"/>
      <c r="G41" s="3"/>
      <c r="H41" s="3"/>
      <c r="I41" s="3"/>
      <c r="J41" s="3"/>
      <c r="K41" s="5"/>
      <c r="L41" s="5"/>
      <c r="M41" s="5"/>
      <c r="N41" s="3"/>
      <c r="O41" s="3"/>
      <c r="P41" s="3"/>
      <c r="Q41" s="3"/>
      <c r="R41" s="3"/>
    </row>
    <row r="42" spans="1:18" ht="26.1" customHeight="1">
      <c r="A42" s="18"/>
      <c r="B42" s="18"/>
      <c r="C42" s="18"/>
      <c r="D42" s="18"/>
      <c r="E42" s="3"/>
      <c r="F42" s="3"/>
      <c r="G42" s="3"/>
      <c r="H42" s="3"/>
      <c r="I42" s="3"/>
      <c r="J42" s="3"/>
      <c r="K42" s="5"/>
      <c r="L42" s="5"/>
      <c r="M42" s="5"/>
      <c r="N42" s="3"/>
      <c r="O42" s="3"/>
      <c r="P42" s="3"/>
      <c r="Q42" s="3"/>
      <c r="R42" s="3"/>
    </row>
    <row r="43" spans="1:18" ht="26.1" customHeight="1">
      <c r="A43" s="18"/>
      <c r="B43" s="18"/>
      <c r="C43" s="18"/>
      <c r="D43" s="18"/>
      <c r="E43" s="3"/>
      <c r="F43" s="3"/>
      <c r="G43" s="3"/>
      <c r="H43" s="3"/>
      <c r="I43" s="3"/>
      <c r="J43" s="3"/>
      <c r="K43" s="5"/>
      <c r="L43" s="5"/>
      <c r="M43" s="5"/>
      <c r="N43" s="3"/>
      <c r="O43" s="3"/>
      <c r="P43" s="3"/>
      <c r="Q43" s="3"/>
      <c r="R43" s="3"/>
    </row>
    <row r="44" spans="1:18" ht="26.1" customHeight="1">
      <c r="A44" s="18"/>
      <c r="B44" s="18"/>
      <c r="C44" s="18"/>
      <c r="D44" s="18"/>
      <c r="E44" s="3"/>
      <c r="F44" s="3"/>
      <c r="G44" s="3"/>
      <c r="H44" s="3"/>
      <c r="I44" s="3"/>
      <c r="J44" s="3"/>
      <c r="K44" s="5"/>
      <c r="L44" s="5"/>
      <c r="M44" s="5"/>
      <c r="N44" s="3"/>
      <c r="O44" s="3"/>
      <c r="P44" s="3"/>
      <c r="Q44" s="3"/>
      <c r="R44" s="3"/>
    </row>
    <row r="45" spans="1:18" ht="26.1" customHeight="1">
      <c r="A45" s="18"/>
      <c r="B45" s="18"/>
      <c r="C45" s="18"/>
      <c r="D45" s="18"/>
      <c r="E45" s="3"/>
      <c r="F45" s="3"/>
      <c r="G45" s="3"/>
      <c r="H45" s="3"/>
      <c r="I45" s="3"/>
      <c r="J45" s="3"/>
      <c r="K45" s="5"/>
      <c r="L45" s="5"/>
      <c r="M45" s="5"/>
      <c r="N45" s="3"/>
      <c r="O45" s="3"/>
      <c r="P45" s="3"/>
      <c r="Q45" s="3"/>
      <c r="R45" s="3"/>
    </row>
    <row r="46" spans="1:18" ht="26.1" customHeight="1">
      <c r="A46" s="18"/>
      <c r="B46" s="18"/>
      <c r="C46" s="18"/>
      <c r="D46" s="18"/>
      <c r="E46" s="3"/>
      <c r="F46" s="3"/>
      <c r="G46" s="3"/>
      <c r="H46" s="3"/>
      <c r="I46" s="3"/>
      <c r="J46" s="3"/>
      <c r="K46" s="5"/>
      <c r="L46" s="5"/>
      <c r="M46" s="5"/>
      <c r="N46" s="3"/>
      <c r="O46" s="3"/>
      <c r="P46" s="3"/>
      <c r="Q46" s="3"/>
      <c r="R46" s="3"/>
    </row>
    <row r="47" spans="1:18" ht="26.1" customHeight="1">
      <c r="A47" s="18"/>
      <c r="B47" s="18"/>
      <c r="C47" s="18"/>
      <c r="D47" s="18"/>
      <c r="E47" s="3"/>
      <c r="F47" s="3"/>
      <c r="G47" s="3"/>
      <c r="H47" s="3"/>
      <c r="I47" s="3"/>
      <c r="J47" s="3"/>
      <c r="K47" s="5"/>
      <c r="L47" s="5"/>
      <c r="M47" s="5"/>
      <c r="N47" s="3"/>
      <c r="O47" s="3"/>
      <c r="P47" s="3"/>
      <c r="Q47" s="3"/>
      <c r="R47" s="3"/>
    </row>
    <row r="48" spans="1:18" ht="26.1" customHeight="1">
      <c r="A48" s="18"/>
      <c r="B48" s="18"/>
      <c r="C48" s="18"/>
      <c r="D48" s="18"/>
      <c r="E48" s="3"/>
      <c r="F48" s="3"/>
      <c r="G48" s="3"/>
      <c r="H48" s="3"/>
      <c r="I48" s="3"/>
      <c r="J48" s="3"/>
      <c r="K48" s="5"/>
      <c r="L48" s="5"/>
      <c r="M48" s="5"/>
      <c r="N48" s="3"/>
      <c r="O48" s="3"/>
      <c r="P48" s="3"/>
      <c r="Q48" s="3"/>
      <c r="R48" s="3"/>
    </row>
    <row r="49" spans="1:18" ht="26.1" customHeight="1">
      <c r="A49" s="18"/>
      <c r="B49" s="18"/>
      <c r="C49" s="18"/>
      <c r="D49" s="18"/>
      <c r="E49" s="3"/>
      <c r="F49" s="3"/>
      <c r="G49" s="3"/>
      <c r="H49" s="3"/>
      <c r="I49" s="3"/>
      <c r="J49" s="3"/>
      <c r="K49" s="5"/>
      <c r="L49" s="5"/>
      <c r="M49" s="5"/>
      <c r="N49" s="3"/>
      <c r="O49" s="3"/>
      <c r="P49" s="3"/>
      <c r="Q49" s="3"/>
      <c r="R49" s="3"/>
    </row>
    <row r="50" spans="1:18" ht="26.1" customHeight="1">
      <c r="A50" s="18"/>
      <c r="B50" s="18"/>
      <c r="C50" s="18"/>
      <c r="D50" s="18"/>
      <c r="E50" s="3"/>
      <c r="F50" s="3"/>
      <c r="G50" s="3"/>
      <c r="H50" s="3"/>
      <c r="I50" s="3"/>
      <c r="J50" s="3"/>
      <c r="K50" s="5"/>
      <c r="L50" s="5"/>
      <c r="M50" s="5"/>
      <c r="N50" s="3"/>
      <c r="O50" s="3"/>
      <c r="P50" s="3"/>
      <c r="Q50" s="3"/>
      <c r="R50" s="3"/>
    </row>
    <row r="51" spans="1:18" ht="26.1" customHeight="1">
      <c r="A51" s="18"/>
      <c r="B51" s="18"/>
      <c r="C51" s="18"/>
      <c r="D51" s="18"/>
      <c r="E51" s="3"/>
      <c r="F51" s="3"/>
      <c r="G51" s="3"/>
      <c r="H51" s="3"/>
      <c r="I51" s="3"/>
      <c r="J51" s="3"/>
      <c r="K51" s="5"/>
      <c r="L51" s="5"/>
      <c r="M51" s="5"/>
      <c r="N51" s="3"/>
      <c r="O51" s="3"/>
      <c r="P51" s="3"/>
      <c r="Q51" s="3"/>
      <c r="R51" s="3"/>
    </row>
    <row r="52" spans="1:18" ht="26.1" customHeight="1">
      <c r="A52" s="18"/>
      <c r="B52" s="18"/>
      <c r="C52" s="18"/>
      <c r="D52" s="18"/>
      <c r="E52" s="3"/>
      <c r="F52" s="3"/>
      <c r="G52" s="3"/>
      <c r="H52" s="3"/>
      <c r="I52" s="3"/>
      <c r="J52" s="3"/>
      <c r="K52" s="5"/>
      <c r="L52" s="5"/>
      <c r="M52" s="5"/>
      <c r="N52" s="3"/>
      <c r="O52" s="3"/>
      <c r="P52" s="3"/>
      <c r="Q52" s="3"/>
      <c r="R52" s="3"/>
    </row>
    <row r="53" spans="1:18" ht="26.1" customHeight="1">
      <c r="A53" s="18"/>
      <c r="B53" s="18"/>
      <c r="C53" s="18"/>
      <c r="D53" s="18"/>
      <c r="E53" s="3"/>
      <c r="F53" s="3"/>
      <c r="G53" s="3"/>
      <c r="H53" s="3"/>
      <c r="I53" s="3"/>
      <c r="J53" s="3"/>
      <c r="K53" s="5"/>
      <c r="L53" s="5"/>
      <c r="M53" s="5"/>
      <c r="N53" s="3"/>
      <c r="O53" s="3"/>
      <c r="P53" s="3"/>
      <c r="Q53" s="3"/>
      <c r="R53" s="3"/>
    </row>
    <row r="54" spans="1:18" ht="26.1" customHeight="1">
      <c r="A54" s="18"/>
      <c r="B54" s="18"/>
      <c r="C54" s="18"/>
      <c r="D54" s="18"/>
      <c r="E54" s="3"/>
      <c r="F54" s="3"/>
      <c r="G54" s="3"/>
      <c r="H54" s="3"/>
      <c r="I54" s="3"/>
      <c r="J54" s="3"/>
      <c r="K54" s="5"/>
      <c r="L54" s="5"/>
      <c r="M54" s="5"/>
      <c r="N54" s="3"/>
      <c r="O54" s="3"/>
      <c r="P54" s="3"/>
      <c r="Q54" s="3"/>
      <c r="R54" s="3"/>
    </row>
    <row r="55" spans="1:18" ht="26.1" customHeight="1">
      <c r="A55" s="18"/>
      <c r="B55" s="18"/>
      <c r="C55" s="18"/>
      <c r="D55" s="18"/>
      <c r="E55" s="3"/>
      <c r="F55" s="3"/>
      <c r="G55" s="3"/>
      <c r="H55" s="3"/>
      <c r="I55" s="3"/>
      <c r="J55" s="3"/>
      <c r="K55" s="5"/>
      <c r="L55" s="5"/>
      <c r="M55" s="5"/>
      <c r="N55" s="3"/>
      <c r="O55" s="3"/>
      <c r="P55" s="3"/>
      <c r="Q55" s="3"/>
      <c r="R55" s="3"/>
    </row>
    <row r="56" spans="1:18" ht="26.1" customHeight="1">
      <c r="A56" s="18"/>
      <c r="B56" s="18"/>
      <c r="C56" s="18"/>
      <c r="D56" s="18"/>
      <c r="E56" s="3"/>
      <c r="F56" s="3"/>
      <c r="G56" s="3"/>
      <c r="H56" s="3"/>
      <c r="I56" s="3"/>
      <c r="J56" s="3"/>
      <c r="K56" s="5"/>
      <c r="L56" s="5"/>
      <c r="M56" s="5"/>
      <c r="N56" s="3"/>
      <c r="O56" s="3"/>
      <c r="P56" s="3"/>
      <c r="Q56" s="3"/>
      <c r="R56" s="3"/>
    </row>
    <row r="57" spans="1:18" ht="26.1" customHeight="1">
      <c r="A57" s="18"/>
      <c r="B57" s="18"/>
      <c r="C57" s="18"/>
      <c r="D57" s="18"/>
      <c r="E57" s="3"/>
      <c r="F57" s="3"/>
      <c r="G57" s="3"/>
      <c r="H57" s="3"/>
      <c r="I57" s="3"/>
      <c r="J57" s="3"/>
      <c r="K57" s="5"/>
      <c r="L57" s="5"/>
      <c r="M57" s="5"/>
      <c r="N57" s="3"/>
      <c r="O57" s="3"/>
      <c r="P57" s="3"/>
      <c r="Q57" s="3"/>
      <c r="R57" s="3"/>
    </row>
    <row r="58" spans="1:18" ht="26.1" customHeight="1">
      <c r="A58" s="18"/>
      <c r="B58" s="18"/>
      <c r="C58" s="18"/>
      <c r="D58" s="18"/>
      <c r="E58" s="3"/>
      <c r="F58" s="3"/>
      <c r="G58" s="3"/>
      <c r="H58" s="3"/>
      <c r="I58" s="3"/>
      <c r="J58" s="3"/>
      <c r="K58" s="5"/>
      <c r="L58" s="5"/>
      <c r="M58" s="5"/>
      <c r="N58" s="3"/>
      <c r="O58" s="3"/>
      <c r="P58" s="3"/>
      <c r="Q58" s="3"/>
      <c r="R58" s="3"/>
    </row>
    <row r="59" spans="1:18" ht="26.1" customHeight="1">
      <c r="A59" s="18"/>
      <c r="B59" s="18"/>
      <c r="C59" s="18"/>
      <c r="D59" s="18"/>
      <c r="E59" s="3"/>
      <c r="F59" s="3"/>
      <c r="G59" s="3"/>
      <c r="H59" s="3"/>
      <c r="I59" s="3"/>
      <c r="J59" s="3"/>
      <c r="K59" s="5"/>
      <c r="L59" s="5"/>
      <c r="M59" s="5"/>
      <c r="N59" s="3"/>
      <c r="O59" s="3"/>
      <c r="P59" s="3"/>
      <c r="Q59" s="3"/>
      <c r="R59" s="3"/>
    </row>
    <row r="60" spans="1:18" ht="26.1" customHeight="1">
      <c r="A60" s="18"/>
      <c r="B60" s="18"/>
      <c r="C60" s="18"/>
      <c r="D60" s="18"/>
      <c r="E60" s="3"/>
      <c r="F60" s="3"/>
      <c r="G60" s="3"/>
      <c r="H60" s="3"/>
      <c r="I60" s="3"/>
      <c r="J60" s="3"/>
      <c r="K60" s="5"/>
      <c r="L60" s="5"/>
      <c r="M60" s="5"/>
      <c r="N60" s="3"/>
      <c r="O60" s="3"/>
      <c r="P60" s="3"/>
      <c r="Q60" s="3"/>
      <c r="R60" s="3"/>
    </row>
    <row r="61" spans="1:18" ht="26.1" customHeight="1">
      <c r="A61" s="18"/>
      <c r="B61" s="18"/>
      <c r="C61" s="18"/>
      <c r="D61" s="18"/>
      <c r="E61" s="3"/>
      <c r="F61" s="3"/>
      <c r="G61" s="3"/>
      <c r="H61" s="3"/>
      <c r="I61" s="3"/>
      <c r="J61" s="3"/>
      <c r="K61" s="5"/>
      <c r="L61" s="5"/>
      <c r="M61" s="5"/>
      <c r="N61" s="3"/>
      <c r="O61" s="3"/>
      <c r="P61" s="3"/>
      <c r="Q61" s="3"/>
      <c r="R61" s="3"/>
    </row>
    <row r="62" spans="1:18" ht="26.1" customHeight="1">
      <c r="A62" s="18"/>
      <c r="B62" s="18"/>
      <c r="C62" s="18"/>
      <c r="D62" s="18"/>
      <c r="E62" s="3"/>
      <c r="F62" s="3"/>
      <c r="G62" s="3"/>
      <c r="H62" s="3"/>
      <c r="I62" s="3"/>
      <c r="J62" s="3"/>
      <c r="K62" s="5"/>
      <c r="L62" s="5"/>
      <c r="M62" s="5"/>
      <c r="N62" s="3"/>
      <c r="O62" s="3"/>
      <c r="P62" s="3"/>
      <c r="Q62" s="3"/>
      <c r="R62" s="3"/>
    </row>
    <row r="63" spans="1:18" ht="26.1" customHeight="1">
      <c r="A63" s="18"/>
      <c r="B63" s="18"/>
      <c r="C63" s="18"/>
      <c r="D63" s="18"/>
      <c r="E63" s="3"/>
      <c r="F63" s="3"/>
      <c r="G63" s="3"/>
      <c r="H63" s="3"/>
      <c r="I63" s="3"/>
      <c r="J63" s="3"/>
      <c r="K63" s="5"/>
      <c r="L63" s="5"/>
      <c r="M63" s="5"/>
      <c r="N63" s="3"/>
      <c r="O63" s="3"/>
      <c r="P63" s="3"/>
      <c r="Q63" s="3"/>
      <c r="R63" s="3"/>
    </row>
    <row r="64" spans="1:18" ht="26.1" customHeight="1">
      <c r="A64" s="18"/>
      <c r="B64" s="18"/>
      <c r="C64" s="18"/>
      <c r="D64" s="18"/>
      <c r="E64" s="3"/>
      <c r="F64" s="3"/>
      <c r="G64" s="3"/>
      <c r="H64" s="3"/>
      <c r="I64" s="3"/>
      <c r="J64" s="3"/>
      <c r="K64" s="5"/>
      <c r="L64" s="5"/>
      <c r="M64" s="5"/>
      <c r="N64" s="3"/>
      <c r="O64" s="3"/>
      <c r="P64" s="3"/>
      <c r="Q64" s="3"/>
      <c r="R64" s="3"/>
    </row>
    <row r="65" spans="1:18" ht="26.1" customHeight="1">
      <c r="A65" s="18"/>
      <c r="B65" s="18"/>
      <c r="C65" s="18"/>
      <c r="D65" s="18"/>
      <c r="E65" s="3"/>
      <c r="F65" s="3"/>
      <c r="G65" s="3"/>
      <c r="H65" s="3"/>
      <c r="I65" s="3"/>
      <c r="J65" s="3"/>
      <c r="K65" s="5"/>
      <c r="L65" s="5"/>
      <c r="M65" s="5"/>
      <c r="N65" s="3"/>
      <c r="O65" s="3"/>
      <c r="P65" s="3"/>
      <c r="Q65" s="3"/>
      <c r="R65" s="3"/>
    </row>
    <row r="66" spans="1:18" ht="26.1" customHeight="1">
      <c r="A66" s="18"/>
      <c r="B66" s="18"/>
      <c r="C66" s="18"/>
      <c r="D66" s="18"/>
      <c r="E66" s="3"/>
      <c r="F66" s="3"/>
      <c r="G66" s="3"/>
      <c r="H66" s="3"/>
      <c r="I66" s="3"/>
      <c r="J66" s="3"/>
      <c r="K66" s="5"/>
      <c r="L66" s="5"/>
      <c r="M66" s="5"/>
      <c r="N66" s="3"/>
      <c r="O66" s="3"/>
      <c r="P66" s="3"/>
      <c r="Q66" s="3"/>
      <c r="R66" s="3"/>
    </row>
    <row r="67" spans="1:18" ht="26.1" customHeight="1">
      <c r="A67" s="18"/>
      <c r="B67" s="18"/>
      <c r="C67" s="18"/>
      <c r="D67" s="18"/>
      <c r="E67" s="3"/>
      <c r="F67" s="3"/>
      <c r="G67" s="3"/>
      <c r="H67" s="3"/>
      <c r="I67" s="3"/>
      <c r="J67" s="3"/>
      <c r="K67" s="5"/>
      <c r="L67" s="5"/>
      <c r="M67" s="5"/>
      <c r="N67" s="3"/>
      <c r="O67" s="3"/>
      <c r="P67" s="3"/>
      <c r="Q67" s="3"/>
      <c r="R67" s="3"/>
    </row>
    <row r="68" spans="1:18" ht="26.1" customHeight="1">
      <c r="A68" s="18"/>
      <c r="B68" s="18"/>
      <c r="C68" s="18"/>
      <c r="D68" s="18"/>
      <c r="E68" s="3"/>
      <c r="F68" s="3"/>
      <c r="G68" s="3"/>
      <c r="H68" s="3"/>
      <c r="I68" s="3"/>
      <c r="J68" s="3"/>
      <c r="K68" s="5"/>
      <c r="L68" s="5"/>
      <c r="M68" s="5"/>
      <c r="N68" s="3"/>
      <c r="O68" s="3"/>
      <c r="P68" s="3"/>
      <c r="Q68" s="3"/>
      <c r="R68" s="3"/>
    </row>
    <row r="69" spans="1:18" ht="26.1" customHeight="1">
      <c r="A69" s="18"/>
      <c r="B69" s="18"/>
      <c r="C69" s="18"/>
      <c r="D69" s="18"/>
      <c r="E69" s="3"/>
      <c r="F69" s="3"/>
      <c r="G69" s="3"/>
      <c r="H69" s="3"/>
      <c r="I69" s="3"/>
      <c r="J69" s="3"/>
      <c r="K69" s="5"/>
      <c r="L69" s="5"/>
      <c r="M69" s="5"/>
      <c r="N69" s="3"/>
      <c r="O69" s="3"/>
      <c r="P69" s="3"/>
      <c r="Q69" s="3"/>
      <c r="R69" s="3"/>
    </row>
    <row r="70" spans="1:18" ht="26.1" customHeight="1">
      <c r="A70" s="18"/>
      <c r="B70" s="18"/>
      <c r="C70" s="18"/>
      <c r="D70" s="18"/>
      <c r="E70" s="3"/>
      <c r="F70" s="3"/>
      <c r="G70" s="3"/>
      <c r="H70" s="3"/>
      <c r="I70" s="3"/>
      <c r="J70" s="3"/>
      <c r="K70" s="5"/>
      <c r="L70" s="5"/>
      <c r="M70" s="5"/>
      <c r="N70" s="3"/>
      <c r="O70" s="3"/>
      <c r="P70" s="3"/>
      <c r="Q70" s="3"/>
      <c r="R70" s="3"/>
    </row>
    <row r="71" spans="1:18" ht="26.1" customHeight="1">
      <c r="A71" s="18"/>
      <c r="B71" s="18"/>
      <c r="C71" s="18"/>
      <c r="D71" s="18"/>
      <c r="E71" s="3"/>
      <c r="F71" s="3"/>
      <c r="G71" s="3"/>
      <c r="H71" s="3"/>
      <c r="I71" s="3"/>
      <c r="J71" s="3"/>
      <c r="K71" s="5"/>
      <c r="L71" s="5"/>
      <c r="M71" s="5"/>
      <c r="N71" s="3"/>
      <c r="O71" s="3"/>
      <c r="P71" s="3"/>
      <c r="Q71" s="3"/>
      <c r="R71" s="3"/>
    </row>
    <row r="72" spans="1:18" ht="26.1" customHeight="1">
      <c r="A72" s="18"/>
      <c r="B72" s="18"/>
      <c r="C72" s="18"/>
      <c r="D72" s="18"/>
      <c r="E72" s="3"/>
      <c r="F72" s="3"/>
      <c r="G72" s="3"/>
      <c r="H72" s="3"/>
      <c r="I72" s="3"/>
      <c r="J72" s="3"/>
      <c r="K72" s="5"/>
      <c r="L72" s="5"/>
      <c r="M72" s="5"/>
      <c r="N72" s="3"/>
      <c r="O72" s="3"/>
      <c r="P72" s="3"/>
      <c r="Q72" s="3"/>
      <c r="R72" s="3"/>
    </row>
    <row r="73" spans="1:18" ht="26.1" customHeight="1">
      <c r="A73" s="18"/>
      <c r="B73" s="18"/>
      <c r="C73" s="18"/>
      <c r="D73" s="18"/>
      <c r="E73" s="3"/>
      <c r="F73" s="3"/>
      <c r="G73" s="3"/>
      <c r="H73" s="3"/>
      <c r="I73" s="3"/>
      <c r="J73" s="3"/>
      <c r="K73" s="5"/>
      <c r="L73" s="5"/>
      <c r="M73" s="5"/>
      <c r="N73" s="3"/>
      <c r="O73" s="3"/>
      <c r="P73" s="3"/>
      <c r="Q73" s="3"/>
      <c r="R73" s="3"/>
    </row>
    <row r="74" spans="1:18" ht="26.1" customHeight="1">
      <c r="A74" s="18"/>
      <c r="B74" s="18"/>
      <c r="C74" s="18"/>
      <c r="D74" s="18"/>
      <c r="E74" s="3"/>
      <c r="F74" s="3"/>
      <c r="G74" s="3"/>
      <c r="H74" s="3"/>
      <c r="I74" s="3"/>
      <c r="J74" s="3"/>
      <c r="K74" s="5"/>
      <c r="L74" s="5"/>
      <c r="M74" s="5"/>
      <c r="N74" s="3"/>
      <c r="O74" s="3"/>
      <c r="P74" s="3"/>
      <c r="Q74" s="3"/>
      <c r="R74" s="3"/>
    </row>
    <row r="75" spans="1:18" ht="26.1" customHeight="1">
      <c r="A75" s="18"/>
      <c r="B75" s="18"/>
      <c r="C75" s="18"/>
      <c r="D75" s="18"/>
      <c r="E75" s="3"/>
      <c r="F75" s="3"/>
      <c r="G75" s="3"/>
      <c r="H75" s="3"/>
      <c r="I75" s="3"/>
      <c r="J75" s="3"/>
      <c r="K75" s="5"/>
      <c r="L75" s="5"/>
      <c r="M75" s="5"/>
      <c r="N75" s="3"/>
      <c r="O75" s="3"/>
      <c r="P75" s="3"/>
      <c r="Q75" s="3"/>
      <c r="R75" s="3"/>
    </row>
    <row r="76" spans="1:18" ht="26.1" customHeight="1">
      <c r="A76" s="18"/>
      <c r="B76" s="18"/>
      <c r="C76" s="18"/>
      <c r="D76" s="18"/>
      <c r="E76" s="3"/>
      <c r="F76" s="3"/>
      <c r="G76" s="3"/>
      <c r="H76" s="3"/>
      <c r="I76" s="3"/>
      <c r="J76" s="3"/>
      <c r="K76" s="5"/>
      <c r="L76" s="5"/>
      <c r="M76" s="5"/>
      <c r="N76" s="3"/>
      <c r="O76" s="3"/>
      <c r="P76" s="3"/>
      <c r="Q76" s="3"/>
      <c r="R76" s="3"/>
    </row>
    <row r="77" spans="1:18" ht="26.1" customHeight="1">
      <c r="A77" s="18"/>
      <c r="B77" s="18"/>
      <c r="C77" s="18"/>
      <c r="D77" s="18"/>
      <c r="E77" s="3"/>
      <c r="F77" s="3"/>
      <c r="G77" s="3"/>
      <c r="H77" s="3"/>
      <c r="I77" s="3"/>
      <c r="J77" s="3"/>
      <c r="K77" s="5"/>
      <c r="L77" s="5"/>
      <c r="M77" s="5"/>
      <c r="N77" s="3"/>
      <c r="O77" s="3"/>
      <c r="P77" s="3"/>
      <c r="Q77" s="3"/>
      <c r="R77" s="3"/>
    </row>
    <row r="78" spans="1:18" ht="26.1" customHeight="1">
      <c r="A78" s="18"/>
      <c r="B78" s="18"/>
      <c r="C78" s="18"/>
      <c r="D78" s="18"/>
      <c r="E78" s="3"/>
      <c r="F78" s="3"/>
      <c r="G78" s="3"/>
      <c r="H78" s="3"/>
      <c r="I78" s="3"/>
      <c r="J78" s="3"/>
      <c r="K78" s="5"/>
      <c r="L78" s="5"/>
      <c r="M78" s="5"/>
      <c r="N78" s="3"/>
      <c r="O78" s="3"/>
      <c r="P78" s="3"/>
      <c r="Q78" s="3"/>
      <c r="R78" s="3"/>
    </row>
    <row r="79" spans="1:18" ht="26.1" customHeight="1">
      <c r="A79" s="18"/>
      <c r="B79" s="18"/>
      <c r="C79" s="18"/>
      <c r="D79" s="18"/>
      <c r="E79" s="3"/>
      <c r="F79" s="3"/>
      <c r="G79" s="3"/>
      <c r="H79" s="3"/>
      <c r="I79" s="3"/>
      <c r="J79" s="3"/>
      <c r="K79" s="5"/>
      <c r="L79" s="5"/>
      <c r="M79" s="5"/>
      <c r="N79" s="3"/>
      <c r="O79" s="3"/>
      <c r="P79" s="3"/>
      <c r="Q79" s="3"/>
      <c r="R79" s="3"/>
    </row>
    <row r="80" spans="1:18" ht="26.1" customHeight="1">
      <c r="A80" s="18"/>
      <c r="B80" s="18"/>
      <c r="C80" s="18"/>
      <c r="D80" s="18"/>
      <c r="E80" s="3"/>
      <c r="F80" s="3"/>
      <c r="G80" s="3"/>
      <c r="H80" s="3"/>
      <c r="I80" s="3"/>
      <c r="J80" s="3"/>
      <c r="K80" s="5"/>
      <c r="L80" s="5"/>
      <c r="M80" s="5"/>
      <c r="N80" s="3"/>
      <c r="O80" s="3"/>
      <c r="P80" s="3"/>
      <c r="Q80" s="3"/>
      <c r="R80" s="3"/>
    </row>
    <row r="81" spans="1:18" ht="26.1" customHeight="1">
      <c r="A81" s="18"/>
      <c r="B81" s="18"/>
      <c r="C81" s="18"/>
      <c r="D81" s="18"/>
      <c r="E81" s="3"/>
      <c r="F81" s="3"/>
      <c r="G81" s="3"/>
      <c r="H81" s="3"/>
      <c r="I81" s="3"/>
      <c r="J81" s="3"/>
      <c r="K81" s="5"/>
      <c r="L81" s="5"/>
      <c r="M81" s="5"/>
      <c r="N81" s="3"/>
      <c r="O81" s="3"/>
      <c r="P81" s="3"/>
      <c r="Q81" s="3"/>
      <c r="R81" s="3"/>
    </row>
    <row r="82" spans="1:18" ht="26.1" customHeight="1">
      <c r="A82" s="18"/>
      <c r="B82" s="18"/>
      <c r="C82" s="18"/>
      <c r="D82" s="18"/>
      <c r="E82" s="3"/>
      <c r="F82" s="3"/>
      <c r="G82" s="3"/>
      <c r="H82" s="3"/>
      <c r="I82" s="3"/>
      <c r="J82" s="3"/>
      <c r="K82" s="5"/>
      <c r="L82" s="5"/>
      <c r="M82" s="5"/>
      <c r="N82" s="3"/>
      <c r="O82" s="3"/>
      <c r="P82" s="3"/>
      <c r="Q82" s="3"/>
      <c r="R82" s="3"/>
    </row>
    <row r="83" spans="1:18" ht="26.1" customHeight="1">
      <c r="A83" s="18"/>
      <c r="B83" s="18"/>
      <c r="C83" s="18"/>
      <c r="D83" s="18"/>
      <c r="E83" s="3"/>
      <c r="F83" s="3"/>
      <c r="G83" s="3"/>
      <c r="H83" s="3"/>
      <c r="I83" s="3"/>
      <c r="J83" s="3"/>
      <c r="K83" s="5"/>
      <c r="L83" s="5"/>
      <c r="M83" s="5"/>
      <c r="N83" s="3"/>
      <c r="O83" s="3"/>
      <c r="P83" s="3"/>
      <c r="Q83" s="3"/>
      <c r="R83" s="3"/>
    </row>
    <row r="84" spans="1:18" ht="26.1" customHeight="1">
      <c r="A84" s="18"/>
      <c r="B84" s="18"/>
      <c r="C84" s="18"/>
      <c r="D84" s="18"/>
      <c r="E84" s="3"/>
      <c r="F84" s="3"/>
      <c r="G84" s="3"/>
      <c r="H84" s="3"/>
      <c r="I84" s="3"/>
      <c r="J84" s="3"/>
      <c r="K84" s="5"/>
      <c r="L84" s="5"/>
      <c r="M84" s="5"/>
      <c r="N84" s="3"/>
      <c r="O84" s="3"/>
      <c r="P84" s="3"/>
      <c r="Q84" s="3"/>
      <c r="R84" s="3"/>
    </row>
    <row r="85" spans="1:18" ht="26.1" customHeight="1">
      <c r="A85" s="18"/>
      <c r="B85" s="18"/>
      <c r="C85" s="18"/>
      <c r="D85" s="18"/>
      <c r="E85" s="3"/>
      <c r="F85" s="3"/>
      <c r="G85" s="3"/>
      <c r="H85" s="3"/>
      <c r="I85" s="3"/>
      <c r="J85" s="3"/>
      <c r="K85" s="5"/>
      <c r="L85" s="5"/>
      <c r="M85" s="5"/>
      <c r="N85" s="3"/>
      <c r="O85" s="3"/>
      <c r="P85" s="3"/>
      <c r="Q85" s="3"/>
      <c r="R85" s="3"/>
    </row>
    <row r="86" spans="1:18" ht="26.1" customHeight="1">
      <c r="A86" s="18"/>
      <c r="B86" s="18"/>
      <c r="C86" s="18"/>
      <c r="D86" s="18"/>
      <c r="E86" s="3"/>
      <c r="F86" s="3"/>
      <c r="G86" s="3"/>
      <c r="H86" s="3"/>
      <c r="I86" s="3"/>
      <c r="J86" s="3"/>
      <c r="K86" s="5"/>
      <c r="L86" s="5"/>
      <c r="M86" s="5"/>
      <c r="N86" s="3"/>
      <c r="O86" s="3"/>
      <c r="P86" s="3"/>
      <c r="Q86" s="3"/>
      <c r="R86" s="3"/>
    </row>
    <row r="87" spans="1:18" ht="26.1" customHeight="1">
      <c r="A87" s="18"/>
      <c r="B87" s="18"/>
      <c r="C87" s="18"/>
      <c r="D87" s="18"/>
      <c r="E87" s="3"/>
      <c r="F87" s="3"/>
      <c r="G87" s="3"/>
      <c r="H87" s="3"/>
      <c r="I87" s="3"/>
      <c r="J87" s="3"/>
      <c r="K87" s="5"/>
      <c r="L87" s="5"/>
      <c r="M87" s="5"/>
      <c r="N87" s="3"/>
      <c r="O87" s="3"/>
      <c r="P87" s="3"/>
      <c r="Q87" s="3"/>
      <c r="R87" s="3"/>
    </row>
    <row r="88" spans="1:18" ht="26.1" customHeight="1">
      <c r="A88" s="18"/>
      <c r="B88" s="18"/>
      <c r="C88" s="18"/>
      <c r="D88" s="18"/>
      <c r="E88" s="3"/>
      <c r="F88" s="3"/>
      <c r="G88" s="3"/>
      <c r="H88" s="3"/>
      <c r="I88" s="3"/>
      <c r="J88" s="3"/>
      <c r="K88" s="5"/>
      <c r="L88" s="5"/>
      <c r="M88" s="5"/>
      <c r="N88" s="3"/>
      <c r="O88" s="3"/>
      <c r="P88" s="3"/>
      <c r="Q88" s="3"/>
      <c r="R88" s="3"/>
    </row>
    <row r="89" spans="1:18" ht="26.1" customHeight="1">
      <c r="A89" s="18"/>
      <c r="B89" s="18"/>
      <c r="C89" s="18"/>
      <c r="D89" s="18"/>
      <c r="E89" s="3"/>
      <c r="F89" s="3"/>
      <c r="G89" s="3"/>
      <c r="H89" s="3"/>
      <c r="I89" s="3"/>
      <c r="J89" s="3"/>
      <c r="K89" s="5"/>
      <c r="L89" s="5"/>
      <c r="M89" s="5"/>
      <c r="N89" s="3"/>
      <c r="O89" s="3"/>
      <c r="P89" s="3"/>
      <c r="Q89" s="3"/>
      <c r="R89" s="3"/>
    </row>
    <row r="90" spans="1:18" ht="26.1" customHeight="1">
      <c r="A90" s="18"/>
      <c r="B90" s="18"/>
      <c r="C90" s="18"/>
      <c r="D90" s="18"/>
      <c r="E90" s="3"/>
      <c r="F90" s="3"/>
      <c r="G90" s="3"/>
      <c r="H90" s="3"/>
      <c r="I90" s="3"/>
      <c r="J90" s="3"/>
      <c r="K90" s="5"/>
      <c r="L90" s="5"/>
      <c r="M90" s="5"/>
      <c r="N90" s="3"/>
      <c r="O90" s="3"/>
      <c r="P90" s="3"/>
      <c r="Q90" s="3"/>
      <c r="R90" s="3"/>
    </row>
    <row r="91" spans="1:18" ht="26.1" customHeight="1">
      <c r="A91" s="18"/>
      <c r="B91" s="18"/>
      <c r="C91" s="18"/>
      <c r="D91" s="18"/>
      <c r="E91" s="3"/>
      <c r="F91" s="3"/>
      <c r="G91" s="3"/>
      <c r="H91" s="3"/>
      <c r="I91" s="3"/>
      <c r="J91" s="3"/>
      <c r="K91" s="5"/>
      <c r="L91" s="5"/>
      <c r="M91" s="5"/>
      <c r="N91" s="3"/>
      <c r="O91" s="3"/>
      <c r="P91" s="3"/>
      <c r="Q91" s="3"/>
      <c r="R91" s="3"/>
    </row>
    <row r="92" spans="1:18" ht="26.1" customHeight="1">
      <c r="A92" s="18"/>
      <c r="B92" s="18"/>
      <c r="C92" s="18"/>
      <c r="D92" s="18"/>
      <c r="E92" s="3"/>
      <c r="F92" s="3"/>
      <c r="G92" s="3"/>
      <c r="H92" s="3"/>
      <c r="I92" s="3"/>
      <c r="J92" s="3"/>
      <c r="K92" s="5"/>
      <c r="L92" s="5"/>
      <c r="M92" s="5"/>
      <c r="N92" s="3"/>
      <c r="O92" s="3"/>
      <c r="P92" s="3"/>
      <c r="Q92" s="3"/>
      <c r="R92" s="3"/>
    </row>
    <row r="93" spans="1:18" ht="26.1" customHeight="1">
      <c r="A93" s="18"/>
      <c r="B93" s="18"/>
      <c r="C93" s="18"/>
      <c r="D93" s="18"/>
      <c r="E93" s="3"/>
      <c r="F93" s="3"/>
      <c r="G93" s="3"/>
      <c r="H93" s="3"/>
      <c r="I93" s="3"/>
      <c r="J93" s="3"/>
      <c r="K93" s="5"/>
      <c r="L93" s="5"/>
      <c r="M93" s="5"/>
      <c r="N93" s="3"/>
      <c r="O93" s="3"/>
      <c r="P93" s="3"/>
      <c r="Q93" s="3"/>
      <c r="R93" s="3"/>
    </row>
    <row r="94" spans="1:18" ht="26.1" customHeight="1">
      <c r="A94" s="18"/>
      <c r="B94" s="18"/>
      <c r="C94" s="18"/>
      <c r="D94" s="18"/>
      <c r="E94" s="3"/>
      <c r="F94" s="3"/>
      <c r="G94" s="3"/>
      <c r="H94" s="3"/>
      <c r="I94" s="3"/>
      <c r="J94" s="3"/>
      <c r="K94" s="5"/>
      <c r="L94" s="5"/>
      <c r="M94" s="5"/>
      <c r="N94" s="3"/>
      <c r="O94" s="3"/>
      <c r="P94" s="3"/>
      <c r="Q94" s="3"/>
      <c r="R94" s="3"/>
    </row>
    <row r="95" spans="1:18" ht="26.1" customHeight="1">
      <c r="A95" s="18"/>
      <c r="B95" s="18"/>
      <c r="C95" s="18"/>
      <c r="D95" s="18"/>
      <c r="E95" s="3"/>
      <c r="F95" s="3"/>
      <c r="G95" s="3"/>
      <c r="H95" s="3"/>
      <c r="I95" s="3"/>
      <c r="J95" s="3"/>
      <c r="K95" s="5"/>
      <c r="L95" s="5"/>
      <c r="M95" s="5"/>
      <c r="N95" s="3"/>
      <c r="O95" s="3"/>
      <c r="P95" s="3"/>
      <c r="Q95" s="3"/>
      <c r="R95" s="3"/>
    </row>
    <row r="96" spans="1:18" ht="26.1" customHeight="1">
      <c r="A96" s="18"/>
      <c r="B96" s="18"/>
      <c r="C96" s="18"/>
      <c r="D96" s="18"/>
      <c r="E96" s="3"/>
      <c r="F96" s="3"/>
      <c r="G96" s="3"/>
      <c r="H96" s="3"/>
      <c r="I96" s="3"/>
      <c r="J96" s="3"/>
      <c r="K96" s="5"/>
      <c r="L96" s="5"/>
      <c r="M96" s="5"/>
      <c r="N96" s="3"/>
      <c r="O96" s="3"/>
      <c r="P96" s="3"/>
      <c r="Q96" s="3"/>
      <c r="R96" s="3"/>
    </row>
    <row r="97" spans="1:18" ht="26.1" customHeight="1">
      <c r="A97" s="18"/>
      <c r="B97" s="18"/>
      <c r="C97" s="18"/>
      <c r="D97" s="18"/>
      <c r="E97" s="3"/>
      <c r="F97" s="3"/>
      <c r="G97" s="3"/>
      <c r="H97" s="3"/>
      <c r="I97" s="3"/>
      <c r="J97" s="3"/>
      <c r="K97" s="5"/>
      <c r="L97" s="5"/>
      <c r="M97" s="5"/>
      <c r="N97" s="3"/>
      <c r="O97" s="3"/>
      <c r="P97" s="3"/>
      <c r="Q97" s="3"/>
      <c r="R97" s="3"/>
    </row>
    <row r="98" spans="1:18" ht="26.1" customHeight="1">
      <c r="A98" s="18"/>
      <c r="B98" s="18"/>
      <c r="C98" s="18"/>
      <c r="D98" s="18"/>
      <c r="E98" s="3"/>
      <c r="F98" s="3"/>
      <c r="G98" s="3"/>
      <c r="H98" s="3"/>
      <c r="I98" s="3"/>
      <c r="J98" s="3"/>
      <c r="K98" s="5"/>
      <c r="L98" s="5"/>
      <c r="M98" s="5"/>
      <c r="N98" s="3"/>
      <c r="O98" s="3"/>
      <c r="P98" s="3"/>
      <c r="Q98" s="3"/>
      <c r="R98" s="3"/>
    </row>
    <row r="99" spans="1:18" ht="26.1" customHeight="1">
      <c r="A99" s="18"/>
      <c r="B99" s="18"/>
      <c r="C99" s="18"/>
      <c r="D99" s="18"/>
      <c r="E99" s="3"/>
      <c r="F99" s="3"/>
      <c r="G99" s="3"/>
      <c r="H99" s="3"/>
      <c r="I99" s="3"/>
      <c r="J99" s="3"/>
      <c r="K99" s="5"/>
      <c r="L99" s="5"/>
      <c r="M99" s="5"/>
      <c r="N99" s="3"/>
      <c r="O99" s="3"/>
      <c r="P99" s="3"/>
      <c r="Q99" s="3"/>
      <c r="R99" s="3"/>
    </row>
    <row r="100" spans="1:18" ht="26.1" customHeight="1">
      <c r="A100" s="18"/>
      <c r="B100" s="18"/>
      <c r="C100" s="18"/>
      <c r="D100" s="18"/>
      <c r="E100" s="3"/>
      <c r="F100" s="3"/>
      <c r="G100" s="3"/>
      <c r="H100" s="3"/>
      <c r="I100" s="3"/>
      <c r="J100" s="3"/>
      <c r="K100" s="5"/>
      <c r="L100" s="5"/>
      <c r="M100" s="5"/>
      <c r="N100" s="3"/>
      <c r="O100" s="3"/>
      <c r="P100" s="3"/>
      <c r="Q100" s="3"/>
      <c r="R100" s="3"/>
    </row>
    <row r="101" spans="1:18" ht="26.1" customHeight="1">
      <c r="A101" s="18"/>
      <c r="B101" s="18"/>
      <c r="C101" s="18"/>
      <c r="D101" s="18"/>
      <c r="E101" s="3"/>
      <c r="F101" s="3"/>
      <c r="G101" s="3"/>
      <c r="H101" s="3"/>
      <c r="I101" s="3"/>
      <c r="J101" s="3"/>
      <c r="K101" s="5"/>
      <c r="L101" s="5"/>
      <c r="M101" s="5"/>
      <c r="N101" s="3"/>
      <c r="O101" s="3"/>
      <c r="P101" s="3"/>
      <c r="Q101" s="3"/>
      <c r="R101" s="3"/>
    </row>
    <row r="102" spans="1:18" ht="26.1" customHeight="1">
      <c r="A102" s="18"/>
      <c r="B102" s="18"/>
      <c r="C102" s="18"/>
      <c r="D102" s="18"/>
      <c r="E102" s="3"/>
      <c r="F102" s="3"/>
      <c r="G102" s="3"/>
      <c r="H102" s="3"/>
      <c r="I102" s="3"/>
      <c r="J102" s="3"/>
      <c r="K102" s="5"/>
      <c r="L102" s="5"/>
      <c r="M102" s="5"/>
      <c r="N102" s="3"/>
      <c r="O102" s="3"/>
      <c r="P102" s="3"/>
      <c r="Q102" s="3"/>
      <c r="R102" s="3"/>
    </row>
    <row r="103" spans="1:18" ht="26.1" customHeight="1">
      <c r="A103" s="18"/>
      <c r="B103" s="18"/>
      <c r="C103" s="18"/>
      <c r="D103" s="18"/>
      <c r="E103" s="3"/>
      <c r="F103" s="3"/>
      <c r="G103" s="3"/>
      <c r="H103" s="3"/>
      <c r="I103" s="3"/>
      <c r="J103" s="3"/>
      <c r="K103" s="5"/>
      <c r="L103" s="5"/>
      <c r="M103" s="5"/>
      <c r="N103" s="3"/>
      <c r="O103" s="3"/>
      <c r="P103" s="3"/>
      <c r="Q103" s="3"/>
      <c r="R103" s="3"/>
    </row>
    <row r="104" spans="1:18" ht="26.1" customHeight="1">
      <c r="A104" s="18"/>
      <c r="B104" s="18"/>
      <c r="C104" s="18"/>
      <c r="D104" s="18"/>
      <c r="E104" s="3"/>
      <c r="F104" s="3"/>
      <c r="G104" s="3"/>
      <c r="H104" s="3"/>
      <c r="I104" s="3"/>
      <c r="J104" s="3"/>
      <c r="K104" s="5"/>
      <c r="L104" s="5"/>
      <c r="M104" s="5"/>
      <c r="N104" s="3"/>
      <c r="O104" s="3"/>
      <c r="P104" s="3"/>
      <c r="Q104" s="3"/>
      <c r="R104" s="3"/>
    </row>
    <row r="105" spans="1:18" ht="26.1" customHeight="1">
      <c r="A105" s="18"/>
      <c r="B105" s="18"/>
      <c r="C105" s="18"/>
      <c r="D105" s="18"/>
      <c r="E105" s="3"/>
      <c r="F105" s="3"/>
      <c r="G105" s="3"/>
      <c r="H105" s="3"/>
      <c r="I105" s="3"/>
      <c r="J105" s="3"/>
      <c r="K105" s="5"/>
      <c r="L105" s="5"/>
      <c r="M105" s="5"/>
      <c r="N105" s="3"/>
      <c r="O105" s="3"/>
      <c r="P105" s="3"/>
      <c r="Q105" s="3"/>
      <c r="R105" s="3"/>
    </row>
    <row r="106" spans="1:18" ht="26.1" customHeight="1">
      <c r="A106" s="18"/>
      <c r="B106" s="18"/>
      <c r="C106" s="18"/>
      <c r="D106" s="18"/>
      <c r="E106" s="3"/>
      <c r="F106" s="3"/>
      <c r="G106" s="3"/>
      <c r="H106" s="3"/>
      <c r="I106" s="3"/>
      <c r="J106" s="3"/>
      <c r="K106" s="5"/>
      <c r="L106" s="5"/>
      <c r="M106" s="5"/>
      <c r="N106" s="3"/>
      <c r="O106" s="3"/>
      <c r="P106" s="3"/>
      <c r="Q106" s="3"/>
      <c r="R106" s="3"/>
    </row>
    <row r="107" spans="1:18">
      <c r="A107" s="18"/>
      <c r="B107" s="18"/>
      <c r="C107" s="18"/>
      <c r="D107" s="18"/>
    </row>
    <row r="108" spans="1:18">
      <c r="A108" s="18"/>
      <c r="B108" s="18"/>
      <c r="C108" s="18"/>
      <c r="D108" s="18"/>
    </row>
    <row r="109" spans="1:18">
      <c r="A109" s="18"/>
      <c r="B109" s="18"/>
      <c r="C109" s="18"/>
      <c r="D109" s="18"/>
    </row>
    <row r="110" spans="1:18">
      <c r="A110" s="18"/>
      <c r="B110" s="18"/>
      <c r="C110" s="18"/>
      <c r="D110" s="18"/>
    </row>
  </sheetData>
  <mergeCells count="1">
    <mergeCell ref="E5:R5"/>
  </mergeCells>
  <phoneticPr fontId="36" type="noConversion"/>
  <conditionalFormatting sqref="E7:E106">
    <cfRule type="expression" dxfId="7" priority="1">
      <formula>AND(E7&lt;&gt;"",COUNTIFS($E$7:$E$106,E7)&gt;1)</formula>
    </cfRule>
  </conditionalFormatting>
  <conditionalFormatting sqref="Q7:Q106">
    <cfRule type="cellIs" dxfId="6" priority="2" operator="equal">
      <formula>"Pending validation"</formula>
    </cfRule>
    <cfRule type="cellIs" dxfId="5" priority="3" operator="equal">
      <formula>"Validated"</formula>
    </cfRule>
    <cfRule type="cellIs" dxfId="4" priority="4" operator="equal">
      <formula>"Rejected"</formula>
    </cfRule>
  </conditionalFormatting>
  <dataValidations count="4">
    <dataValidation type="list" allowBlank="1" showErrorMessage="1" errorTitle="Select an allowed option" error="Choose a dropdown value or leave an unknown input blank." sqref="N7:N106" xr:uid="{00000000-0002-0000-0300-000000000000}">
      <formula1>"Planned request,Requested,Received,Under review,Reviewed"</formula1>
    </dataValidation>
    <dataValidation type="list" allowBlank="1" showErrorMessage="1" errorTitle="Select an allowed option" error="Choose a dropdown value or leave an unknown input blank." sqref="Q7:Q106" xr:uid="{00000000-0002-0000-0300-000001000000}">
      <formula1>"Pending validation,Validated,Rejected"</formula1>
    </dataValidation>
    <dataValidation type="list" allowBlank="1" showErrorMessage="1" errorTitle="Select an allowed option" error="Choose a dropdown value or leave an unknown input blank." sqref="F7:F106" xr:uid="{00000000-0002-0000-0300-000002000000}">
      <formula1>RiskIDs</formula1>
    </dataValidation>
    <dataValidation type="list" allowBlank="1" showErrorMessage="1" errorTitle="Select an allowed option" error="Choose a dropdown value or leave an unknown input blank." sqref="G7:G106" xr:uid="{00000000-0002-0000-0300-000003000000}">
      <formula1>ControlIDs</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02F47"/>
  </sheetPr>
  <dimension ref="A1:P110"/>
  <sheetViews>
    <sheetView showGridLines="0" workbookViewId="0">
      <pane xSplit="6" ySplit="6" topLeftCell="G7" activePane="bottomRight" state="frozen"/>
      <selection pane="topRight"/>
      <selection pane="bottomLeft"/>
      <selection pane="bottomRight" activeCell="P11" sqref="P11"/>
    </sheetView>
  </sheetViews>
  <sheetFormatPr defaultRowHeight="14.25"/>
  <cols>
    <col min="1" max="4" width="7.25" customWidth="1"/>
    <col min="5" max="5" width="8.75" bestFit="1" customWidth="1"/>
    <col min="6" max="6" width="7.125" bestFit="1" customWidth="1"/>
    <col min="7" max="7" width="50.875" bestFit="1" customWidth="1"/>
    <col min="8" max="8" width="27.75" bestFit="1" customWidth="1"/>
    <col min="9" max="10" width="15" bestFit="1" customWidth="1"/>
    <col min="11" max="11" width="11.125" bestFit="1" customWidth="1"/>
    <col min="12" max="12" width="15" bestFit="1" customWidth="1"/>
    <col min="13" max="13" width="20.25" bestFit="1" customWidth="1"/>
    <col min="14" max="14" width="17.25" bestFit="1" customWidth="1"/>
    <col min="15" max="15" width="13.25" bestFit="1" customWidth="1"/>
    <col min="16" max="16" width="51.5" bestFit="1" customWidth="1"/>
  </cols>
  <sheetData>
    <row r="1" spans="1:16" ht="28.5" customHeight="1">
      <c r="A1" s="18"/>
      <c r="B1" s="18"/>
      <c r="C1" s="18"/>
      <c r="D1" s="18"/>
      <c r="E1" s="14"/>
      <c r="F1" s="14"/>
      <c r="G1" s="14"/>
      <c r="H1" s="14"/>
      <c r="I1" s="14"/>
      <c r="J1" s="14"/>
      <c r="K1" s="14"/>
      <c r="L1" s="14"/>
      <c r="M1" s="14"/>
      <c r="N1" s="14"/>
      <c r="O1" s="14"/>
      <c r="P1" s="14"/>
    </row>
    <row r="2" spans="1:16" ht="28.5" customHeight="1">
      <c r="A2" s="18"/>
      <c r="B2" s="18"/>
      <c r="C2" s="18"/>
      <c r="D2" s="18"/>
      <c r="E2" s="14"/>
      <c r="F2" s="14"/>
      <c r="G2" s="14"/>
      <c r="H2" s="14"/>
      <c r="I2" s="14"/>
      <c r="J2" s="14"/>
      <c r="K2" s="14"/>
      <c r="L2" s="14"/>
      <c r="M2" s="14"/>
      <c r="N2" s="14"/>
      <c r="O2" s="14"/>
      <c r="P2" s="14"/>
    </row>
    <row r="3" spans="1:16" ht="15" customHeight="1">
      <c r="A3" s="18"/>
      <c r="B3" s="18"/>
      <c r="C3" s="18"/>
      <c r="D3" s="18"/>
      <c r="E3" s="15"/>
      <c r="F3" s="15"/>
      <c r="G3" s="15"/>
      <c r="H3" s="15"/>
      <c r="I3" s="15"/>
      <c r="J3" s="15"/>
      <c r="K3" s="15"/>
      <c r="L3" s="15"/>
      <c r="M3" s="15"/>
      <c r="N3" s="15"/>
      <c r="O3" s="15"/>
      <c r="P3" s="15"/>
    </row>
    <row r="4" spans="1:16" ht="15" customHeight="1">
      <c r="A4" s="18"/>
      <c r="B4" s="18"/>
      <c r="C4" s="18"/>
      <c r="D4" s="18"/>
      <c r="E4" s="15"/>
      <c r="F4" s="15"/>
      <c r="G4" s="15"/>
      <c r="H4" s="15"/>
      <c r="I4" s="15"/>
      <c r="J4" s="15"/>
      <c r="K4" s="15"/>
      <c r="L4" s="15"/>
      <c r="M4" s="15"/>
      <c r="N4" s="15"/>
      <c r="O4" s="15"/>
      <c r="P4" s="15"/>
    </row>
    <row r="5" spans="1:16" ht="21" customHeight="1">
      <c r="A5" s="18"/>
      <c r="B5" s="18"/>
      <c r="C5" s="18"/>
      <c r="D5" s="18"/>
      <c r="E5" s="28" t="s">
        <v>230</v>
      </c>
      <c r="F5" s="28"/>
      <c r="G5" s="28"/>
      <c r="H5" s="28"/>
      <c r="I5" s="28"/>
      <c r="J5" s="28"/>
      <c r="K5" s="28"/>
      <c r="L5" s="28"/>
      <c r="M5" s="28"/>
      <c r="N5" s="28"/>
      <c r="O5" s="28"/>
      <c r="P5" s="28"/>
    </row>
    <row r="6" spans="1:16" ht="45.95" customHeight="1">
      <c r="A6" s="18"/>
      <c r="B6" s="18"/>
      <c r="C6" s="18"/>
      <c r="D6" s="18"/>
      <c r="E6" s="2" t="s">
        <v>103</v>
      </c>
      <c r="F6" s="2" t="s">
        <v>28</v>
      </c>
      <c r="G6" s="2" t="s">
        <v>104</v>
      </c>
      <c r="H6" s="2" t="s">
        <v>38</v>
      </c>
      <c r="I6" s="2" t="s">
        <v>105</v>
      </c>
      <c r="J6" s="2" t="s">
        <v>41</v>
      </c>
      <c r="K6" s="2" t="s">
        <v>106</v>
      </c>
      <c r="L6" s="2" t="s">
        <v>107</v>
      </c>
      <c r="M6" s="2" t="s">
        <v>233</v>
      </c>
      <c r="N6" s="2" t="s">
        <v>108</v>
      </c>
      <c r="O6" s="2" t="s">
        <v>109</v>
      </c>
      <c r="P6" s="2" t="s">
        <v>110</v>
      </c>
    </row>
    <row r="7" spans="1:16" ht="71.25">
      <c r="A7" s="18"/>
      <c r="B7" s="18"/>
      <c r="C7" s="18"/>
      <c r="D7" s="18"/>
      <c r="E7" s="3" t="s">
        <v>111</v>
      </c>
      <c r="F7" s="3" t="s">
        <v>49</v>
      </c>
      <c r="G7" s="24" t="s">
        <v>112</v>
      </c>
      <c r="H7" s="24" t="s">
        <v>113</v>
      </c>
      <c r="I7" s="24" t="s">
        <v>118</v>
      </c>
      <c r="J7" s="3" t="s">
        <v>57</v>
      </c>
      <c r="K7" s="5"/>
      <c r="L7" s="5"/>
      <c r="M7" s="3"/>
      <c r="N7" s="3" t="s">
        <v>56</v>
      </c>
      <c r="O7" s="4" t="str">
        <f t="shared" ref="O7:O38" ca="1" si="0">IF(E7="","",IF(ISNUMBER(K7),IF(J7="Completed",0,MAX(0,TODAY()-K7)),""))</f>
        <v/>
      </c>
      <c r="P7" s="24" t="s">
        <v>114</v>
      </c>
    </row>
    <row r="8" spans="1:16" ht="57">
      <c r="A8" s="18"/>
      <c r="B8" s="18"/>
      <c r="C8" s="18"/>
      <c r="D8" s="18"/>
      <c r="E8" s="3" t="s">
        <v>115</v>
      </c>
      <c r="F8" s="3" t="s">
        <v>58</v>
      </c>
      <c r="G8" s="24" t="s">
        <v>116</v>
      </c>
      <c r="H8" s="24" t="s">
        <v>117</v>
      </c>
      <c r="I8" s="3" t="s">
        <v>118</v>
      </c>
      <c r="J8" s="3" t="s">
        <v>57</v>
      </c>
      <c r="K8" s="5"/>
      <c r="L8" s="5"/>
      <c r="M8" s="3"/>
      <c r="N8" s="3" t="s">
        <v>56</v>
      </c>
      <c r="O8" s="4" t="str">
        <f t="shared" ca="1" si="0"/>
        <v/>
      </c>
      <c r="P8" s="3" t="s">
        <v>223</v>
      </c>
    </row>
    <row r="9" spans="1:16" ht="156.75">
      <c r="A9" s="18"/>
      <c r="B9" s="18"/>
      <c r="C9" s="18"/>
      <c r="D9" s="18"/>
      <c r="E9" s="3" t="s">
        <v>200</v>
      </c>
      <c r="F9" s="3" t="s">
        <v>185</v>
      </c>
      <c r="G9" s="24" t="s">
        <v>202</v>
      </c>
      <c r="H9" s="24" t="s">
        <v>201</v>
      </c>
      <c r="I9" s="3" t="s">
        <v>118</v>
      </c>
      <c r="J9" s="3" t="s">
        <v>57</v>
      </c>
      <c r="K9" s="5"/>
      <c r="L9" s="5"/>
      <c r="M9" s="3"/>
      <c r="N9" s="24" t="s">
        <v>56</v>
      </c>
      <c r="O9" s="4" t="str">
        <f t="shared" ca="1" si="0"/>
        <v/>
      </c>
      <c r="P9" s="24" t="s">
        <v>224</v>
      </c>
    </row>
    <row r="10" spans="1:16" ht="171">
      <c r="A10" s="18"/>
      <c r="B10" s="18"/>
      <c r="C10" s="18"/>
      <c r="D10" s="18"/>
      <c r="E10" s="3" t="s">
        <v>221</v>
      </c>
      <c r="F10" s="3" t="s">
        <v>203</v>
      </c>
      <c r="G10" s="3" t="s">
        <v>222</v>
      </c>
      <c r="H10" s="3" t="s">
        <v>206</v>
      </c>
      <c r="I10" s="3" t="s">
        <v>118</v>
      </c>
      <c r="J10" s="3" t="s">
        <v>57</v>
      </c>
      <c r="K10" s="5"/>
      <c r="L10" s="5"/>
      <c r="M10" s="3"/>
      <c r="N10" s="3" t="s">
        <v>56</v>
      </c>
      <c r="O10" s="4" t="str">
        <f t="shared" ca="1" si="0"/>
        <v/>
      </c>
      <c r="P10" s="3" t="s">
        <v>225</v>
      </c>
    </row>
    <row r="11" spans="1:16" ht="26.1" customHeight="1">
      <c r="A11" s="18"/>
      <c r="B11" s="18"/>
      <c r="C11" s="18"/>
      <c r="D11" s="18"/>
      <c r="E11" s="3"/>
      <c r="F11" s="3"/>
      <c r="G11" s="24"/>
      <c r="H11" s="3"/>
      <c r="I11" s="3"/>
      <c r="J11" s="3"/>
      <c r="K11" s="5"/>
      <c r="L11" s="5"/>
      <c r="M11" s="3"/>
      <c r="N11" s="3"/>
      <c r="O11" s="4" t="str">
        <f t="shared" ca="1" si="0"/>
        <v/>
      </c>
      <c r="P11" s="24"/>
    </row>
    <row r="12" spans="1:16" ht="26.1" customHeight="1">
      <c r="A12" s="18"/>
      <c r="B12" s="18"/>
      <c r="C12" s="18"/>
      <c r="D12" s="18"/>
      <c r="E12" s="3"/>
      <c r="F12" s="3"/>
      <c r="G12" s="3"/>
      <c r="H12" s="3"/>
      <c r="I12" s="3"/>
      <c r="J12" s="3"/>
      <c r="K12" s="5"/>
      <c r="L12" s="5"/>
      <c r="M12" s="3"/>
      <c r="N12" s="3"/>
      <c r="O12" s="4" t="str">
        <f t="shared" ca="1" si="0"/>
        <v/>
      </c>
      <c r="P12" s="24"/>
    </row>
    <row r="13" spans="1:16" ht="26.1" customHeight="1">
      <c r="A13" s="18"/>
      <c r="B13" s="18"/>
      <c r="C13" s="18"/>
      <c r="D13" s="18"/>
      <c r="E13" s="3"/>
      <c r="F13" s="3"/>
      <c r="G13" s="3"/>
      <c r="H13" s="3"/>
      <c r="I13" s="3"/>
      <c r="J13" s="3"/>
      <c r="K13" s="5"/>
      <c r="L13" s="5"/>
      <c r="M13" s="3"/>
      <c r="N13" s="3"/>
      <c r="O13" s="4" t="str">
        <f t="shared" ca="1" si="0"/>
        <v/>
      </c>
      <c r="P13" s="3"/>
    </row>
    <row r="14" spans="1:16" ht="26.1" customHeight="1">
      <c r="A14" s="18"/>
      <c r="B14" s="18"/>
      <c r="C14" s="18"/>
      <c r="D14" s="18"/>
      <c r="E14" s="3"/>
      <c r="F14" s="3"/>
      <c r="G14" s="3"/>
      <c r="H14" s="3"/>
      <c r="I14" s="3"/>
      <c r="J14" s="3"/>
      <c r="K14" s="5"/>
      <c r="L14" s="5"/>
      <c r="M14" s="3"/>
      <c r="N14" s="3"/>
      <c r="O14" s="4" t="str">
        <f t="shared" ca="1" si="0"/>
        <v/>
      </c>
      <c r="P14" s="3"/>
    </row>
    <row r="15" spans="1:16" ht="26.1" customHeight="1">
      <c r="A15" s="18"/>
      <c r="B15" s="18"/>
      <c r="C15" s="18"/>
      <c r="D15" s="18"/>
      <c r="E15" s="3"/>
      <c r="F15" s="3"/>
      <c r="G15" s="3"/>
      <c r="H15" s="3"/>
      <c r="I15" s="3"/>
      <c r="J15" s="3"/>
      <c r="K15" s="5"/>
      <c r="L15" s="5"/>
      <c r="M15" s="3"/>
      <c r="N15" s="3"/>
      <c r="O15" s="4" t="str">
        <f t="shared" ca="1" si="0"/>
        <v/>
      </c>
      <c r="P15" s="3"/>
    </row>
    <row r="16" spans="1:16" ht="26.1" customHeight="1">
      <c r="A16" s="18"/>
      <c r="B16" s="18"/>
      <c r="C16" s="18"/>
      <c r="D16" s="18"/>
      <c r="E16" s="3"/>
      <c r="F16" s="3"/>
      <c r="G16" s="3"/>
      <c r="H16" s="3"/>
      <c r="I16" s="3"/>
      <c r="J16" s="3"/>
      <c r="K16" s="5"/>
      <c r="L16" s="5"/>
      <c r="M16" s="3"/>
      <c r="N16" s="3"/>
      <c r="O16" s="4" t="str">
        <f t="shared" ca="1" si="0"/>
        <v/>
      </c>
      <c r="P16" s="3"/>
    </row>
    <row r="17" spans="1:16" ht="26.1" customHeight="1">
      <c r="A17" s="18"/>
      <c r="B17" s="18"/>
      <c r="C17" s="18"/>
      <c r="D17" s="18"/>
      <c r="E17" s="3"/>
      <c r="F17" s="3"/>
      <c r="G17" s="3"/>
      <c r="H17" s="3"/>
      <c r="I17" s="3"/>
      <c r="J17" s="3"/>
      <c r="K17" s="5"/>
      <c r="L17" s="5"/>
      <c r="M17" s="3"/>
      <c r="N17" s="3"/>
      <c r="O17" s="4" t="str">
        <f t="shared" ca="1" si="0"/>
        <v/>
      </c>
      <c r="P17" s="3"/>
    </row>
    <row r="18" spans="1:16" ht="26.1" customHeight="1">
      <c r="A18" s="18"/>
      <c r="B18" s="18"/>
      <c r="C18" s="18"/>
      <c r="D18" s="18"/>
      <c r="E18" s="3"/>
      <c r="F18" s="3"/>
      <c r="G18" s="3"/>
      <c r="H18" s="3"/>
      <c r="I18" s="3"/>
      <c r="J18" s="3"/>
      <c r="K18" s="5"/>
      <c r="L18" s="5"/>
      <c r="M18" s="3"/>
      <c r="N18" s="3"/>
      <c r="O18" s="4" t="str">
        <f t="shared" ca="1" si="0"/>
        <v/>
      </c>
      <c r="P18" s="3"/>
    </row>
    <row r="19" spans="1:16" ht="26.1" customHeight="1">
      <c r="A19" s="18"/>
      <c r="B19" s="18"/>
      <c r="C19" s="18"/>
      <c r="D19" s="18"/>
      <c r="E19" s="3"/>
      <c r="F19" s="3"/>
      <c r="G19" s="3"/>
      <c r="H19" s="3"/>
      <c r="I19" s="3"/>
      <c r="J19" s="3"/>
      <c r="K19" s="5"/>
      <c r="L19" s="5"/>
      <c r="M19" s="3"/>
      <c r="N19" s="3"/>
      <c r="O19" s="4" t="str">
        <f t="shared" ca="1" si="0"/>
        <v/>
      </c>
      <c r="P19" s="3"/>
    </row>
    <row r="20" spans="1:16" ht="26.1" customHeight="1">
      <c r="A20" s="18"/>
      <c r="B20" s="18"/>
      <c r="C20" s="18"/>
      <c r="D20" s="18"/>
      <c r="E20" s="3"/>
      <c r="F20" s="3"/>
      <c r="G20" s="3"/>
      <c r="H20" s="3"/>
      <c r="I20" s="3"/>
      <c r="J20" s="3"/>
      <c r="K20" s="5"/>
      <c r="L20" s="5"/>
      <c r="M20" s="3"/>
      <c r="N20" s="3"/>
      <c r="O20" s="4" t="str">
        <f t="shared" ca="1" si="0"/>
        <v/>
      </c>
      <c r="P20" s="3"/>
    </row>
    <row r="21" spans="1:16" ht="26.1" customHeight="1">
      <c r="A21" s="18"/>
      <c r="B21" s="18"/>
      <c r="C21" s="18"/>
      <c r="D21" s="18"/>
      <c r="E21" s="3"/>
      <c r="F21" s="3"/>
      <c r="G21" s="3"/>
      <c r="H21" s="3"/>
      <c r="I21" s="3"/>
      <c r="J21" s="3"/>
      <c r="K21" s="5"/>
      <c r="L21" s="5"/>
      <c r="M21" s="3"/>
      <c r="N21" s="3"/>
      <c r="O21" s="4" t="str">
        <f t="shared" ca="1" si="0"/>
        <v/>
      </c>
      <c r="P21" s="3"/>
    </row>
    <row r="22" spans="1:16" ht="26.1" customHeight="1">
      <c r="A22" s="18"/>
      <c r="B22" s="18"/>
      <c r="C22" s="18"/>
      <c r="D22" s="18"/>
      <c r="E22" s="3"/>
      <c r="F22" s="3"/>
      <c r="G22" s="3"/>
      <c r="H22" s="3"/>
      <c r="I22" s="3"/>
      <c r="J22" s="3"/>
      <c r="K22" s="5"/>
      <c r="L22" s="5"/>
      <c r="M22" s="3"/>
      <c r="N22" s="3"/>
      <c r="O22" s="4" t="str">
        <f t="shared" ca="1" si="0"/>
        <v/>
      </c>
      <c r="P22" s="3"/>
    </row>
    <row r="23" spans="1:16" ht="26.1" customHeight="1">
      <c r="A23" s="18"/>
      <c r="B23" s="18"/>
      <c r="C23" s="18"/>
      <c r="D23" s="18"/>
      <c r="E23" s="3"/>
      <c r="F23" s="3"/>
      <c r="G23" s="3"/>
      <c r="H23" s="3"/>
      <c r="I23" s="3"/>
      <c r="J23" s="3"/>
      <c r="K23" s="5"/>
      <c r="L23" s="5"/>
      <c r="M23" s="3"/>
      <c r="N23" s="3"/>
      <c r="O23" s="4" t="str">
        <f t="shared" ca="1" si="0"/>
        <v/>
      </c>
      <c r="P23" s="3"/>
    </row>
    <row r="24" spans="1:16" ht="26.1" customHeight="1">
      <c r="A24" s="18"/>
      <c r="B24" s="18"/>
      <c r="C24" s="18"/>
      <c r="D24" s="18"/>
      <c r="E24" s="3"/>
      <c r="F24" s="3"/>
      <c r="G24" s="3"/>
      <c r="H24" s="3"/>
      <c r="I24" s="3"/>
      <c r="J24" s="3"/>
      <c r="K24" s="5"/>
      <c r="L24" s="5"/>
      <c r="M24" s="3"/>
      <c r="N24" s="3"/>
      <c r="O24" s="4" t="str">
        <f t="shared" ca="1" si="0"/>
        <v/>
      </c>
      <c r="P24" s="3"/>
    </row>
    <row r="25" spans="1:16" ht="26.1" customHeight="1">
      <c r="A25" s="18"/>
      <c r="B25" s="18"/>
      <c r="C25" s="18"/>
      <c r="D25" s="18"/>
      <c r="E25" s="3"/>
      <c r="F25" s="3"/>
      <c r="G25" s="3"/>
      <c r="H25" s="3"/>
      <c r="I25" s="3"/>
      <c r="J25" s="3"/>
      <c r="K25" s="5"/>
      <c r="L25" s="5"/>
      <c r="M25" s="3"/>
      <c r="N25" s="3"/>
      <c r="O25" s="4" t="str">
        <f t="shared" ca="1" si="0"/>
        <v/>
      </c>
      <c r="P25" s="3"/>
    </row>
    <row r="26" spans="1:16" ht="26.1" customHeight="1">
      <c r="A26" s="18"/>
      <c r="B26" s="18"/>
      <c r="C26" s="18"/>
      <c r="D26" s="18"/>
      <c r="E26" s="3"/>
      <c r="F26" s="3"/>
      <c r="G26" s="3"/>
      <c r="H26" s="3"/>
      <c r="I26" s="3"/>
      <c r="J26" s="3"/>
      <c r="K26" s="5"/>
      <c r="L26" s="5"/>
      <c r="M26" s="3"/>
      <c r="N26" s="3"/>
      <c r="O26" s="4" t="str">
        <f t="shared" ca="1" si="0"/>
        <v/>
      </c>
      <c r="P26" s="3"/>
    </row>
    <row r="27" spans="1:16" ht="26.1" customHeight="1">
      <c r="A27" s="18"/>
      <c r="B27" s="18"/>
      <c r="C27" s="18"/>
      <c r="D27" s="18"/>
      <c r="E27" s="3"/>
      <c r="F27" s="3"/>
      <c r="G27" s="3"/>
      <c r="H27" s="3"/>
      <c r="I27" s="3"/>
      <c r="J27" s="3"/>
      <c r="K27" s="5"/>
      <c r="L27" s="5"/>
      <c r="M27" s="3"/>
      <c r="N27" s="3"/>
      <c r="O27" s="4" t="str">
        <f t="shared" ca="1" si="0"/>
        <v/>
      </c>
      <c r="P27" s="3"/>
    </row>
    <row r="28" spans="1:16" ht="26.1" customHeight="1">
      <c r="A28" s="18"/>
      <c r="B28" s="18"/>
      <c r="C28" s="18"/>
      <c r="D28" s="18"/>
      <c r="E28" s="3"/>
      <c r="F28" s="3"/>
      <c r="G28" s="3"/>
      <c r="H28" s="3"/>
      <c r="I28" s="3"/>
      <c r="J28" s="3"/>
      <c r="K28" s="5"/>
      <c r="L28" s="5"/>
      <c r="M28" s="3"/>
      <c r="N28" s="3"/>
      <c r="O28" s="4" t="str">
        <f t="shared" ca="1" si="0"/>
        <v/>
      </c>
      <c r="P28" s="3"/>
    </row>
    <row r="29" spans="1:16" ht="26.1" customHeight="1">
      <c r="A29" s="18"/>
      <c r="B29" s="18"/>
      <c r="C29" s="18"/>
      <c r="D29" s="18"/>
      <c r="E29" s="3"/>
      <c r="F29" s="3"/>
      <c r="G29" s="3"/>
      <c r="H29" s="3"/>
      <c r="I29" s="3"/>
      <c r="J29" s="3"/>
      <c r="K29" s="5"/>
      <c r="L29" s="5"/>
      <c r="M29" s="3"/>
      <c r="N29" s="3"/>
      <c r="O29" s="4" t="str">
        <f t="shared" ca="1" si="0"/>
        <v/>
      </c>
      <c r="P29" s="3"/>
    </row>
    <row r="30" spans="1:16" ht="26.1" customHeight="1">
      <c r="A30" s="18"/>
      <c r="B30" s="18"/>
      <c r="C30" s="18"/>
      <c r="D30" s="18"/>
      <c r="E30" s="3"/>
      <c r="F30" s="3"/>
      <c r="G30" s="3"/>
      <c r="H30" s="3"/>
      <c r="I30" s="3"/>
      <c r="J30" s="3"/>
      <c r="K30" s="5"/>
      <c r="L30" s="5"/>
      <c r="M30" s="3"/>
      <c r="N30" s="3"/>
      <c r="O30" s="4" t="str">
        <f t="shared" ca="1" si="0"/>
        <v/>
      </c>
      <c r="P30" s="3"/>
    </row>
    <row r="31" spans="1:16" ht="26.1" customHeight="1">
      <c r="A31" s="18"/>
      <c r="B31" s="18"/>
      <c r="C31" s="18"/>
      <c r="D31" s="18"/>
      <c r="E31" s="3"/>
      <c r="F31" s="3"/>
      <c r="G31" s="3"/>
      <c r="H31" s="3"/>
      <c r="I31" s="3"/>
      <c r="J31" s="3"/>
      <c r="K31" s="5"/>
      <c r="L31" s="5"/>
      <c r="M31" s="3"/>
      <c r="N31" s="3"/>
      <c r="O31" s="4" t="str">
        <f t="shared" ca="1" si="0"/>
        <v/>
      </c>
      <c r="P31" s="3"/>
    </row>
    <row r="32" spans="1:16" ht="26.1" customHeight="1">
      <c r="A32" s="18"/>
      <c r="B32" s="18"/>
      <c r="C32" s="18"/>
      <c r="D32" s="18"/>
      <c r="E32" s="3"/>
      <c r="F32" s="3"/>
      <c r="G32" s="3"/>
      <c r="H32" s="3"/>
      <c r="I32" s="3"/>
      <c r="J32" s="3"/>
      <c r="K32" s="5"/>
      <c r="L32" s="5"/>
      <c r="M32" s="3"/>
      <c r="N32" s="3"/>
      <c r="O32" s="4" t="str">
        <f t="shared" ca="1" si="0"/>
        <v/>
      </c>
      <c r="P32" s="3"/>
    </row>
    <row r="33" spans="1:16" ht="26.1" customHeight="1">
      <c r="A33" s="18"/>
      <c r="B33" s="18"/>
      <c r="C33" s="18"/>
      <c r="D33" s="18"/>
      <c r="E33" s="3"/>
      <c r="F33" s="3"/>
      <c r="G33" s="3"/>
      <c r="H33" s="3"/>
      <c r="I33" s="3"/>
      <c r="J33" s="3"/>
      <c r="K33" s="5"/>
      <c r="L33" s="5"/>
      <c r="M33" s="3"/>
      <c r="N33" s="3"/>
      <c r="O33" s="4" t="str">
        <f t="shared" ca="1" si="0"/>
        <v/>
      </c>
      <c r="P33" s="3"/>
    </row>
    <row r="34" spans="1:16" ht="26.1" customHeight="1">
      <c r="A34" s="18"/>
      <c r="B34" s="18"/>
      <c r="C34" s="18"/>
      <c r="D34" s="18"/>
      <c r="E34" s="3"/>
      <c r="F34" s="3"/>
      <c r="G34" s="3"/>
      <c r="H34" s="3"/>
      <c r="I34" s="3"/>
      <c r="J34" s="3"/>
      <c r="K34" s="5"/>
      <c r="L34" s="5"/>
      <c r="M34" s="3"/>
      <c r="N34" s="3"/>
      <c r="O34" s="4" t="str">
        <f t="shared" ca="1" si="0"/>
        <v/>
      </c>
      <c r="P34" s="3"/>
    </row>
    <row r="35" spans="1:16" ht="26.1" customHeight="1">
      <c r="A35" s="18"/>
      <c r="B35" s="18"/>
      <c r="C35" s="18"/>
      <c r="D35" s="18"/>
      <c r="E35" s="3"/>
      <c r="F35" s="3"/>
      <c r="G35" s="3"/>
      <c r="H35" s="3"/>
      <c r="I35" s="3"/>
      <c r="J35" s="3"/>
      <c r="K35" s="5"/>
      <c r="L35" s="5"/>
      <c r="M35" s="3"/>
      <c r="N35" s="3"/>
      <c r="O35" s="4" t="str">
        <f t="shared" ca="1" si="0"/>
        <v/>
      </c>
      <c r="P35" s="3"/>
    </row>
    <row r="36" spans="1:16" ht="26.1" customHeight="1">
      <c r="A36" s="18"/>
      <c r="B36" s="18"/>
      <c r="C36" s="18"/>
      <c r="D36" s="18"/>
      <c r="E36" s="3"/>
      <c r="F36" s="3"/>
      <c r="G36" s="3"/>
      <c r="H36" s="3"/>
      <c r="I36" s="3"/>
      <c r="J36" s="3"/>
      <c r="K36" s="5"/>
      <c r="L36" s="5"/>
      <c r="M36" s="3"/>
      <c r="N36" s="3"/>
      <c r="O36" s="4" t="str">
        <f t="shared" ca="1" si="0"/>
        <v/>
      </c>
      <c r="P36" s="3"/>
    </row>
    <row r="37" spans="1:16" ht="26.1" customHeight="1">
      <c r="A37" s="18"/>
      <c r="B37" s="18"/>
      <c r="C37" s="18"/>
      <c r="D37" s="18"/>
      <c r="E37" s="3"/>
      <c r="F37" s="3"/>
      <c r="G37" s="3"/>
      <c r="H37" s="3"/>
      <c r="I37" s="3"/>
      <c r="J37" s="3"/>
      <c r="K37" s="5"/>
      <c r="L37" s="5"/>
      <c r="M37" s="3"/>
      <c r="N37" s="3"/>
      <c r="O37" s="4" t="str">
        <f t="shared" ca="1" si="0"/>
        <v/>
      </c>
      <c r="P37" s="3"/>
    </row>
    <row r="38" spans="1:16" ht="26.1" customHeight="1">
      <c r="A38" s="18"/>
      <c r="B38" s="18"/>
      <c r="C38" s="18"/>
      <c r="D38" s="18"/>
      <c r="E38" s="3"/>
      <c r="F38" s="3"/>
      <c r="G38" s="3"/>
      <c r="H38" s="3"/>
      <c r="I38" s="3"/>
      <c r="J38" s="3"/>
      <c r="K38" s="5"/>
      <c r="L38" s="5"/>
      <c r="M38" s="3"/>
      <c r="N38" s="3"/>
      <c r="O38" s="4" t="str">
        <f t="shared" ca="1" si="0"/>
        <v/>
      </c>
      <c r="P38" s="3"/>
    </row>
    <row r="39" spans="1:16" ht="26.1" customHeight="1">
      <c r="A39" s="18"/>
      <c r="B39" s="18"/>
      <c r="C39" s="18"/>
      <c r="D39" s="18"/>
      <c r="E39" s="3"/>
      <c r="F39" s="3"/>
      <c r="G39" s="3"/>
      <c r="H39" s="3"/>
      <c r="I39" s="3"/>
      <c r="J39" s="3"/>
      <c r="K39" s="5"/>
      <c r="L39" s="5"/>
      <c r="M39" s="3"/>
      <c r="N39" s="3"/>
      <c r="O39" s="4" t="str">
        <f t="shared" ref="O39:O70" ca="1" si="1">IF(E39="","",IF(ISNUMBER(K39),IF(J39="Completed",0,MAX(0,TODAY()-K39)),""))</f>
        <v/>
      </c>
      <c r="P39" s="3"/>
    </row>
    <row r="40" spans="1:16" ht="26.1" customHeight="1">
      <c r="A40" s="18"/>
      <c r="B40" s="18"/>
      <c r="C40" s="18"/>
      <c r="D40" s="18"/>
      <c r="E40" s="3"/>
      <c r="F40" s="3"/>
      <c r="G40" s="3"/>
      <c r="H40" s="3"/>
      <c r="I40" s="3"/>
      <c r="J40" s="3"/>
      <c r="K40" s="5"/>
      <c r="L40" s="5"/>
      <c r="M40" s="3"/>
      <c r="N40" s="3"/>
      <c r="O40" s="4" t="str">
        <f t="shared" ca="1" si="1"/>
        <v/>
      </c>
      <c r="P40" s="3"/>
    </row>
    <row r="41" spans="1:16" ht="26.1" customHeight="1">
      <c r="A41" s="18"/>
      <c r="B41" s="18"/>
      <c r="C41" s="18"/>
      <c r="D41" s="18"/>
      <c r="E41" s="3"/>
      <c r="F41" s="3"/>
      <c r="G41" s="3"/>
      <c r="H41" s="3"/>
      <c r="I41" s="3"/>
      <c r="J41" s="3"/>
      <c r="K41" s="5"/>
      <c r="L41" s="5"/>
      <c r="M41" s="3"/>
      <c r="N41" s="3"/>
      <c r="O41" s="4" t="str">
        <f t="shared" ca="1" si="1"/>
        <v/>
      </c>
      <c r="P41" s="3"/>
    </row>
    <row r="42" spans="1:16" ht="26.1" customHeight="1">
      <c r="A42" s="18"/>
      <c r="B42" s="18"/>
      <c r="C42" s="18"/>
      <c r="D42" s="18"/>
      <c r="E42" s="3"/>
      <c r="F42" s="3"/>
      <c r="G42" s="3"/>
      <c r="H42" s="3"/>
      <c r="I42" s="3"/>
      <c r="J42" s="3"/>
      <c r="K42" s="5"/>
      <c r="L42" s="5"/>
      <c r="M42" s="3"/>
      <c r="N42" s="3"/>
      <c r="O42" s="4" t="str">
        <f t="shared" ca="1" si="1"/>
        <v/>
      </c>
      <c r="P42" s="3"/>
    </row>
    <row r="43" spans="1:16" ht="26.1" customHeight="1">
      <c r="A43" s="18"/>
      <c r="B43" s="18"/>
      <c r="C43" s="18"/>
      <c r="D43" s="18"/>
      <c r="E43" s="3"/>
      <c r="F43" s="3"/>
      <c r="G43" s="3"/>
      <c r="H43" s="3"/>
      <c r="I43" s="3"/>
      <c r="J43" s="3"/>
      <c r="K43" s="5"/>
      <c r="L43" s="5"/>
      <c r="M43" s="3"/>
      <c r="N43" s="3"/>
      <c r="O43" s="4" t="str">
        <f t="shared" ca="1" si="1"/>
        <v/>
      </c>
      <c r="P43" s="3"/>
    </row>
    <row r="44" spans="1:16" ht="26.1" customHeight="1">
      <c r="A44" s="18"/>
      <c r="B44" s="18"/>
      <c r="C44" s="18"/>
      <c r="D44" s="18"/>
      <c r="E44" s="3"/>
      <c r="F44" s="3"/>
      <c r="G44" s="3"/>
      <c r="H44" s="3"/>
      <c r="I44" s="3"/>
      <c r="J44" s="3"/>
      <c r="K44" s="5"/>
      <c r="L44" s="5"/>
      <c r="M44" s="3"/>
      <c r="N44" s="3"/>
      <c r="O44" s="4" t="str">
        <f t="shared" ca="1" si="1"/>
        <v/>
      </c>
      <c r="P44" s="3"/>
    </row>
    <row r="45" spans="1:16" ht="26.1" customHeight="1">
      <c r="A45" s="18"/>
      <c r="B45" s="18"/>
      <c r="C45" s="18"/>
      <c r="D45" s="18"/>
      <c r="E45" s="3"/>
      <c r="F45" s="3"/>
      <c r="G45" s="3"/>
      <c r="H45" s="3"/>
      <c r="I45" s="3"/>
      <c r="J45" s="3"/>
      <c r="K45" s="5"/>
      <c r="L45" s="5"/>
      <c r="M45" s="3"/>
      <c r="N45" s="3"/>
      <c r="O45" s="4" t="str">
        <f t="shared" ca="1" si="1"/>
        <v/>
      </c>
      <c r="P45" s="3"/>
    </row>
    <row r="46" spans="1:16" ht="26.1" customHeight="1">
      <c r="A46" s="18"/>
      <c r="B46" s="18"/>
      <c r="C46" s="18"/>
      <c r="D46" s="18"/>
      <c r="E46" s="3"/>
      <c r="F46" s="3"/>
      <c r="G46" s="3"/>
      <c r="H46" s="3"/>
      <c r="I46" s="3"/>
      <c r="J46" s="3"/>
      <c r="K46" s="5"/>
      <c r="L46" s="5"/>
      <c r="M46" s="3"/>
      <c r="N46" s="3"/>
      <c r="O46" s="4" t="str">
        <f t="shared" ca="1" si="1"/>
        <v/>
      </c>
      <c r="P46" s="3"/>
    </row>
    <row r="47" spans="1:16" ht="26.1" customHeight="1">
      <c r="A47" s="18"/>
      <c r="B47" s="18"/>
      <c r="C47" s="18"/>
      <c r="D47" s="18"/>
      <c r="E47" s="3"/>
      <c r="F47" s="3"/>
      <c r="G47" s="3"/>
      <c r="H47" s="3"/>
      <c r="I47" s="3"/>
      <c r="J47" s="3"/>
      <c r="K47" s="5"/>
      <c r="L47" s="5"/>
      <c r="M47" s="3"/>
      <c r="N47" s="3"/>
      <c r="O47" s="4" t="str">
        <f t="shared" ca="1" si="1"/>
        <v/>
      </c>
      <c r="P47" s="3"/>
    </row>
    <row r="48" spans="1:16" ht="26.1" customHeight="1">
      <c r="A48" s="18"/>
      <c r="B48" s="18"/>
      <c r="C48" s="18"/>
      <c r="D48" s="18"/>
      <c r="E48" s="3"/>
      <c r="F48" s="3"/>
      <c r="G48" s="3"/>
      <c r="H48" s="3"/>
      <c r="I48" s="3"/>
      <c r="J48" s="3"/>
      <c r="K48" s="5"/>
      <c r="L48" s="5"/>
      <c r="M48" s="3"/>
      <c r="N48" s="3"/>
      <c r="O48" s="4" t="str">
        <f t="shared" ca="1" si="1"/>
        <v/>
      </c>
      <c r="P48" s="3"/>
    </row>
    <row r="49" spans="1:16" ht="26.1" customHeight="1">
      <c r="A49" s="18"/>
      <c r="B49" s="18"/>
      <c r="C49" s="18"/>
      <c r="D49" s="18"/>
      <c r="E49" s="3"/>
      <c r="F49" s="3"/>
      <c r="G49" s="3"/>
      <c r="H49" s="3"/>
      <c r="I49" s="3"/>
      <c r="J49" s="3"/>
      <c r="K49" s="5"/>
      <c r="L49" s="5"/>
      <c r="M49" s="3"/>
      <c r="N49" s="3"/>
      <c r="O49" s="4" t="str">
        <f t="shared" ca="1" si="1"/>
        <v/>
      </c>
      <c r="P49" s="3"/>
    </row>
    <row r="50" spans="1:16" ht="26.1" customHeight="1">
      <c r="A50" s="18"/>
      <c r="B50" s="18"/>
      <c r="C50" s="18"/>
      <c r="D50" s="18"/>
      <c r="E50" s="3"/>
      <c r="F50" s="3"/>
      <c r="G50" s="3"/>
      <c r="H50" s="3"/>
      <c r="I50" s="3"/>
      <c r="J50" s="3"/>
      <c r="K50" s="5"/>
      <c r="L50" s="5"/>
      <c r="M50" s="3"/>
      <c r="N50" s="3"/>
      <c r="O50" s="4" t="str">
        <f t="shared" ca="1" si="1"/>
        <v/>
      </c>
      <c r="P50" s="3"/>
    </row>
    <row r="51" spans="1:16" ht="26.1" customHeight="1">
      <c r="A51" s="18"/>
      <c r="B51" s="18"/>
      <c r="C51" s="18"/>
      <c r="D51" s="18"/>
      <c r="E51" s="3"/>
      <c r="F51" s="3"/>
      <c r="G51" s="3"/>
      <c r="H51" s="3"/>
      <c r="I51" s="3"/>
      <c r="J51" s="3"/>
      <c r="K51" s="5"/>
      <c r="L51" s="5"/>
      <c r="M51" s="3"/>
      <c r="N51" s="3"/>
      <c r="O51" s="4" t="str">
        <f t="shared" ca="1" si="1"/>
        <v/>
      </c>
      <c r="P51" s="3"/>
    </row>
    <row r="52" spans="1:16" ht="26.1" customHeight="1">
      <c r="A52" s="18"/>
      <c r="B52" s="18"/>
      <c r="C52" s="18"/>
      <c r="D52" s="18"/>
      <c r="E52" s="3"/>
      <c r="F52" s="3"/>
      <c r="G52" s="3"/>
      <c r="H52" s="3"/>
      <c r="I52" s="3"/>
      <c r="J52" s="3"/>
      <c r="K52" s="5"/>
      <c r="L52" s="5"/>
      <c r="M52" s="3"/>
      <c r="N52" s="3"/>
      <c r="O52" s="4" t="str">
        <f t="shared" ca="1" si="1"/>
        <v/>
      </c>
      <c r="P52" s="3"/>
    </row>
    <row r="53" spans="1:16" ht="26.1" customHeight="1">
      <c r="A53" s="18"/>
      <c r="B53" s="18"/>
      <c r="C53" s="18"/>
      <c r="D53" s="18"/>
      <c r="E53" s="3"/>
      <c r="F53" s="3"/>
      <c r="G53" s="3"/>
      <c r="H53" s="3"/>
      <c r="I53" s="3"/>
      <c r="J53" s="3"/>
      <c r="K53" s="5"/>
      <c r="L53" s="5"/>
      <c r="M53" s="3"/>
      <c r="N53" s="3"/>
      <c r="O53" s="4" t="str">
        <f t="shared" ca="1" si="1"/>
        <v/>
      </c>
      <c r="P53" s="3"/>
    </row>
    <row r="54" spans="1:16" ht="26.1" customHeight="1">
      <c r="A54" s="18"/>
      <c r="B54" s="18"/>
      <c r="C54" s="18"/>
      <c r="D54" s="18"/>
      <c r="E54" s="3"/>
      <c r="F54" s="3"/>
      <c r="G54" s="3"/>
      <c r="H54" s="3"/>
      <c r="I54" s="3"/>
      <c r="J54" s="3"/>
      <c r="K54" s="5"/>
      <c r="L54" s="5"/>
      <c r="M54" s="3"/>
      <c r="N54" s="3"/>
      <c r="O54" s="4" t="str">
        <f t="shared" ca="1" si="1"/>
        <v/>
      </c>
      <c r="P54" s="3"/>
    </row>
    <row r="55" spans="1:16" ht="26.1" customHeight="1">
      <c r="A55" s="18"/>
      <c r="B55" s="18"/>
      <c r="C55" s="18"/>
      <c r="D55" s="18"/>
      <c r="E55" s="3"/>
      <c r="F55" s="3"/>
      <c r="G55" s="3"/>
      <c r="H55" s="3"/>
      <c r="I55" s="3"/>
      <c r="J55" s="3"/>
      <c r="K55" s="5"/>
      <c r="L55" s="5"/>
      <c r="M55" s="3"/>
      <c r="N55" s="3"/>
      <c r="O55" s="4" t="str">
        <f t="shared" ca="1" si="1"/>
        <v/>
      </c>
      <c r="P55" s="3"/>
    </row>
    <row r="56" spans="1:16" ht="26.1" customHeight="1">
      <c r="A56" s="18"/>
      <c r="B56" s="18"/>
      <c r="C56" s="18"/>
      <c r="D56" s="18"/>
      <c r="E56" s="3"/>
      <c r="F56" s="3"/>
      <c r="G56" s="3"/>
      <c r="H56" s="3"/>
      <c r="I56" s="3"/>
      <c r="J56" s="3"/>
      <c r="K56" s="5"/>
      <c r="L56" s="5"/>
      <c r="M56" s="3"/>
      <c r="N56" s="3"/>
      <c r="O56" s="4" t="str">
        <f t="shared" ca="1" si="1"/>
        <v/>
      </c>
      <c r="P56" s="3"/>
    </row>
    <row r="57" spans="1:16" ht="26.1" customHeight="1">
      <c r="A57" s="18"/>
      <c r="B57" s="18"/>
      <c r="C57" s="18"/>
      <c r="D57" s="18"/>
      <c r="E57" s="3"/>
      <c r="F57" s="3"/>
      <c r="G57" s="3"/>
      <c r="H57" s="3"/>
      <c r="I57" s="3"/>
      <c r="J57" s="3"/>
      <c r="K57" s="5"/>
      <c r="L57" s="5"/>
      <c r="M57" s="3"/>
      <c r="N57" s="3"/>
      <c r="O57" s="4" t="str">
        <f t="shared" ca="1" si="1"/>
        <v/>
      </c>
      <c r="P57" s="3"/>
    </row>
    <row r="58" spans="1:16" ht="26.1" customHeight="1">
      <c r="A58" s="18"/>
      <c r="B58" s="18"/>
      <c r="C58" s="18"/>
      <c r="D58" s="18"/>
      <c r="E58" s="3"/>
      <c r="F58" s="3"/>
      <c r="G58" s="3"/>
      <c r="H58" s="3"/>
      <c r="I58" s="3"/>
      <c r="J58" s="3"/>
      <c r="K58" s="5"/>
      <c r="L58" s="5"/>
      <c r="M58" s="3"/>
      <c r="N58" s="3"/>
      <c r="O58" s="4" t="str">
        <f t="shared" ca="1" si="1"/>
        <v/>
      </c>
      <c r="P58" s="3"/>
    </row>
    <row r="59" spans="1:16" ht="26.1" customHeight="1">
      <c r="A59" s="18"/>
      <c r="B59" s="18"/>
      <c r="C59" s="18"/>
      <c r="D59" s="18"/>
      <c r="E59" s="3"/>
      <c r="F59" s="3"/>
      <c r="G59" s="3"/>
      <c r="H59" s="3"/>
      <c r="I59" s="3"/>
      <c r="J59" s="3"/>
      <c r="K59" s="5"/>
      <c r="L59" s="5"/>
      <c r="M59" s="3"/>
      <c r="N59" s="3"/>
      <c r="O59" s="4" t="str">
        <f t="shared" ca="1" si="1"/>
        <v/>
      </c>
      <c r="P59" s="3"/>
    </row>
    <row r="60" spans="1:16" ht="26.1" customHeight="1">
      <c r="A60" s="18"/>
      <c r="B60" s="18"/>
      <c r="C60" s="18"/>
      <c r="D60" s="18"/>
      <c r="E60" s="3"/>
      <c r="F60" s="3"/>
      <c r="G60" s="3"/>
      <c r="H60" s="3"/>
      <c r="I60" s="3"/>
      <c r="J60" s="3"/>
      <c r="K60" s="5"/>
      <c r="L60" s="5"/>
      <c r="M60" s="3"/>
      <c r="N60" s="3"/>
      <c r="O60" s="4" t="str">
        <f t="shared" ca="1" si="1"/>
        <v/>
      </c>
      <c r="P60" s="3"/>
    </row>
    <row r="61" spans="1:16" ht="26.1" customHeight="1">
      <c r="A61" s="18"/>
      <c r="B61" s="18"/>
      <c r="C61" s="18"/>
      <c r="D61" s="18"/>
      <c r="E61" s="3"/>
      <c r="F61" s="3"/>
      <c r="G61" s="3"/>
      <c r="H61" s="3"/>
      <c r="I61" s="3"/>
      <c r="J61" s="3"/>
      <c r="K61" s="5"/>
      <c r="L61" s="5"/>
      <c r="M61" s="3"/>
      <c r="N61" s="3"/>
      <c r="O61" s="4" t="str">
        <f t="shared" ca="1" si="1"/>
        <v/>
      </c>
      <c r="P61" s="3"/>
    </row>
    <row r="62" spans="1:16" ht="26.1" customHeight="1">
      <c r="A62" s="18"/>
      <c r="B62" s="18"/>
      <c r="C62" s="18"/>
      <c r="D62" s="18"/>
      <c r="E62" s="3"/>
      <c r="F62" s="3"/>
      <c r="G62" s="3"/>
      <c r="H62" s="3"/>
      <c r="I62" s="3"/>
      <c r="J62" s="3"/>
      <c r="K62" s="5"/>
      <c r="L62" s="5"/>
      <c r="M62" s="3"/>
      <c r="N62" s="3"/>
      <c r="O62" s="4" t="str">
        <f t="shared" ca="1" si="1"/>
        <v/>
      </c>
      <c r="P62" s="3"/>
    </row>
    <row r="63" spans="1:16" ht="26.1" customHeight="1">
      <c r="A63" s="18"/>
      <c r="B63" s="18"/>
      <c r="C63" s="18"/>
      <c r="D63" s="18"/>
      <c r="E63" s="3"/>
      <c r="F63" s="3"/>
      <c r="G63" s="3"/>
      <c r="H63" s="3"/>
      <c r="I63" s="3"/>
      <c r="J63" s="3"/>
      <c r="K63" s="5"/>
      <c r="L63" s="5"/>
      <c r="M63" s="3"/>
      <c r="N63" s="3"/>
      <c r="O63" s="4" t="str">
        <f t="shared" ca="1" si="1"/>
        <v/>
      </c>
      <c r="P63" s="3"/>
    </row>
    <row r="64" spans="1:16" ht="26.1" customHeight="1">
      <c r="A64" s="18"/>
      <c r="B64" s="18"/>
      <c r="C64" s="18"/>
      <c r="D64" s="18"/>
      <c r="E64" s="3"/>
      <c r="F64" s="3"/>
      <c r="G64" s="3"/>
      <c r="H64" s="3"/>
      <c r="I64" s="3"/>
      <c r="J64" s="3"/>
      <c r="K64" s="5"/>
      <c r="L64" s="5"/>
      <c r="M64" s="3"/>
      <c r="N64" s="3"/>
      <c r="O64" s="4" t="str">
        <f t="shared" ca="1" si="1"/>
        <v/>
      </c>
      <c r="P64" s="3"/>
    </row>
    <row r="65" spans="1:16" ht="26.1" customHeight="1">
      <c r="A65" s="18"/>
      <c r="B65" s="18"/>
      <c r="C65" s="18"/>
      <c r="D65" s="18"/>
      <c r="E65" s="3"/>
      <c r="F65" s="3"/>
      <c r="G65" s="3"/>
      <c r="H65" s="3"/>
      <c r="I65" s="3"/>
      <c r="J65" s="3"/>
      <c r="K65" s="5"/>
      <c r="L65" s="5"/>
      <c r="M65" s="3"/>
      <c r="N65" s="3"/>
      <c r="O65" s="4" t="str">
        <f t="shared" ca="1" si="1"/>
        <v/>
      </c>
      <c r="P65" s="3"/>
    </row>
    <row r="66" spans="1:16" ht="26.1" customHeight="1">
      <c r="A66" s="18"/>
      <c r="B66" s="18"/>
      <c r="C66" s="18"/>
      <c r="D66" s="18"/>
      <c r="E66" s="3"/>
      <c r="F66" s="3"/>
      <c r="G66" s="3"/>
      <c r="H66" s="3"/>
      <c r="I66" s="3"/>
      <c r="J66" s="3"/>
      <c r="K66" s="5"/>
      <c r="L66" s="5"/>
      <c r="M66" s="3"/>
      <c r="N66" s="3"/>
      <c r="O66" s="4" t="str">
        <f t="shared" ca="1" si="1"/>
        <v/>
      </c>
      <c r="P66" s="3"/>
    </row>
    <row r="67" spans="1:16" ht="26.1" customHeight="1">
      <c r="A67" s="18"/>
      <c r="B67" s="18"/>
      <c r="C67" s="18"/>
      <c r="D67" s="18"/>
      <c r="E67" s="3"/>
      <c r="F67" s="3"/>
      <c r="G67" s="3"/>
      <c r="H67" s="3"/>
      <c r="I67" s="3"/>
      <c r="J67" s="3"/>
      <c r="K67" s="5"/>
      <c r="L67" s="5"/>
      <c r="M67" s="3"/>
      <c r="N67" s="3"/>
      <c r="O67" s="4" t="str">
        <f t="shared" ca="1" si="1"/>
        <v/>
      </c>
      <c r="P67" s="3"/>
    </row>
    <row r="68" spans="1:16" ht="26.1" customHeight="1">
      <c r="A68" s="18"/>
      <c r="B68" s="18"/>
      <c r="C68" s="18"/>
      <c r="D68" s="18"/>
      <c r="E68" s="3"/>
      <c r="F68" s="3"/>
      <c r="G68" s="3"/>
      <c r="H68" s="3"/>
      <c r="I68" s="3"/>
      <c r="J68" s="3"/>
      <c r="K68" s="5"/>
      <c r="L68" s="5"/>
      <c r="M68" s="3"/>
      <c r="N68" s="3"/>
      <c r="O68" s="4" t="str">
        <f t="shared" ca="1" si="1"/>
        <v/>
      </c>
      <c r="P68" s="3"/>
    </row>
    <row r="69" spans="1:16" ht="26.1" customHeight="1">
      <c r="A69" s="18"/>
      <c r="B69" s="18"/>
      <c r="C69" s="18"/>
      <c r="D69" s="18"/>
      <c r="E69" s="3"/>
      <c r="F69" s="3"/>
      <c r="G69" s="3"/>
      <c r="H69" s="3"/>
      <c r="I69" s="3"/>
      <c r="J69" s="3"/>
      <c r="K69" s="5"/>
      <c r="L69" s="5"/>
      <c r="M69" s="3"/>
      <c r="N69" s="3"/>
      <c r="O69" s="4" t="str">
        <f t="shared" ca="1" si="1"/>
        <v/>
      </c>
      <c r="P69" s="3"/>
    </row>
    <row r="70" spans="1:16" ht="26.1" customHeight="1">
      <c r="A70" s="18"/>
      <c r="B70" s="18"/>
      <c r="C70" s="18"/>
      <c r="D70" s="18"/>
      <c r="E70" s="3"/>
      <c r="F70" s="3"/>
      <c r="G70" s="3"/>
      <c r="H70" s="3"/>
      <c r="I70" s="3"/>
      <c r="J70" s="3"/>
      <c r="K70" s="5"/>
      <c r="L70" s="5"/>
      <c r="M70" s="3"/>
      <c r="N70" s="3"/>
      <c r="O70" s="4" t="str">
        <f t="shared" ca="1" si="1"/>
        <v/>
      </c>
      <c r="P70" s="3"/>
    </row>
    <row r="71" spans="1:16" ht="26.1" customHeight="1">
      <c r="A71" s="18"/>
      <c r="B71" s="18"/>
      <c r="C71" s="18"/>
      <c r="D71" s="18"/>
      <c r="E71" s="3"/>
      <c r="F71" s="3"/>
      <c r="G71" s="3"/>
      <c r="H71" s="3"/>
      <c r="I71" s="3"/>
      <c r="J71" s="3"/>
      <c r="K71" s="5"/>
      <c r="L71" s="5"/>
      <c r="M71" s="3"/>
      <c r="N71" s="3"/>
      <c r="O71" s="4" t="str">
        <f t="shared" ref="O71:O106" ca="1" si="2">IF(E71="","",IF(ISNUMBER(K71),IF(J71="Completed",0,MAX(0,TODAY()-K71)),""))</f>
        <v/>
      </c>
      <c r="P71" s="3"/>
    </row>
    <row r="72" spans="1:16" ht="26.1" customHeight="1">
      <c r="A72" s="18"/>
      <c r="B72" s="18"/>
      <c r="C72" s="18"/>
      <c r="D72" s="18"/>
      <c r="E72" s="3"/>
      <c r="F72" s="3"/>
      <c r="G72" s="3"/>
      <c r="H72" s="3"/>
      <c r="I72" s="3"/>
      <c r="J72" s="3"/>
      <c r="K72" s="5"/>
      <c r="L72" s="5"/>
      <c r="M72" s="3"/>
      <c r="N72" s="3"/>
      <c r="O72" s="4" t="str">
        <f t="shared" ca="1" si="2"/>
        <v/>
      </c>
      <c r="P72" s="3"/>
    </row>
    <row r="73" spans="1:16" ht="26.1" customHeight="1">
      <c r="A73" s="18"/>
      <c r="B73" s="18"/>
      <c r="C73" s="18"/>
      <c r="D73" s="18"/>
      <c r="E73" s="3"/>
      <c r="F73" s="3"/>
      <c r="G73" s="3"/>
      <c r="H73" s="3"/>
      <c r="I73" s="3"/>
      <c r="J73" s="3"/>
      <c r="K73" s="5"/>
      <c r="L73" s="5"/>
      <c r="M73" s="3"/>
      <c r="N73" s="3"/>
      <c r="O73" s="4" t="str">
        <f t="shared" ca="1" si="2"/>
        <v/>
      </c>
      <c r="P73" s="3"/>
    </row>
    <row r="74" spans="1:16" ht="26.1" customHeight="1">
      <c r="A74" s="18"/>
      <c r="B74" s="18"/>
      <c r="C74" s="18"/>
      <c r="D74" s="18"/>
      <c r="E74" s="3"/>
      <c r="F74" s="3"/>
      <c r="G74" s="3"/>
      <c r="H74" s="3"/>
      <c r="I74" s="3"/>
      <c r="J74" s="3"/>
      <c r="K74" s="5"/>
      <c r="L74" s="5"/>
      <c r="M74" s="3"/>
      <c r="N74" s="3"/>
      <c r="O74" s="4" t="str">
        <f t="shared" ca="1" si="2"/>
        <v/>
      </c>
      <c r="P74" s="3"/>
    </row>
    <row r="75" spans="1:16" ht="26.1" customHeight="1">
      <c r="A75" s="18"/>
      <c r="B75" s="18"/>
      <c r="C75" s="18"/>
      <c r="D75" s="18"/>
      <c r="E75" s="3"/>
      <c r="F75" s="3"/>
      <c r="G75" s="3"/>
      <c r="H75" s="3"/>
      <c r="I75" s="3"/>
      <c r="J75" s="3"/>
      <c r="K75" s="5"/>
      <c r="L75" s="5"/>
      <c r="M75" s="3"/>
      <c r="N75" s="3"/>
      <c r="O75" s="4" t="str">
        <f t="shared" ca="1" si="2"/>
        <v/>
      </c>
      <c r="P75" s="3"/>
    </row>
    <row r="76" spans="1:16" ht="26.1" customHeight="1">
      <c r="A76" s="18"/>
      <c r="B76" s="18"/>
      <c r="C76" s="18"/>
      <c r="D76" s="18"/>
      <c r="E76" s="3"/>
      <c r="F76" s="3"/>
      <c r="G76" s="3"/>
      <c r="H76" s="3"/>
      <c r="I76" s="3"/>
      <c r="J76" s="3"/>
      <c r="K76" s="5"/>
      <c r="L76" s="5"/>
      <c r="M76" s="3"/>
      <c r="N76" s="3"/>
      <c r="O76" s="4" t="str">
        <f t="shared" ca="1" si="2"/>
        <v/>
      </c>
      <c r="P76" s="3"/>
    </row>
    <row r="77" spans="1:16" ht="26.1" customHeight="1">
      <c r="A77" s="18"/>
      <c r="B77" s="18"/>
      <c r="C77" s="18"/>
      <c r="D77" s="18"/>
      <c r="E77" s="3"/>
      <c r="F77" s="3"/>
      <c r="G77" s="3"/>
      <c r="H77" s="3"/>
      <c r="I77" s="3"/>
      <c r="J77" s="3"/>
      <c r="K77" s="5"/>
      <c r="L77" s="5"/>
      <c r="M77" s="3"/>
      <c r="N77" s="3"/>
      <c r="O77" s="4" t="str">
        <f t="shared" ca="1" si="2"/>
        <v/>
      </c>
      <c r="P77" s="3"/>
    </row>
    <row r="78" spans="1:16" ht="26.1" customHeight="1">
      <c r="A78" s="18"/>
      <c r="B78" s="18"/>
      <c r="C78" s="18"/>
      <c r="D78" s="18"/>
      <c r="E78" s="3"/>
      <c r="F78" s="3"/>
      <c r="G78" s="3"/>
      <c r="H78" s="3"/>
      <c r="I78" s="3"/>
      <c r="J78" s="3"/>
      <c r="K78" s="5"/>
      <c r="L78" s="5"/>
      <c r="M78" s="3"/>
      <c r="N78" s="3"/>
      <c r="O78" s="4" t="str">
        <f t="shared" ca="1" si="2"/>
        <v/>
      </c>
      <c r="P78" s="3"/>
    </row>
    <row r="79" spans="1:16" ht="26.1" customHeight="1">
      <c r="A79" s="18"/>
      <c r="B79" s="18"/>
      <c r="C79" s="18"/>
      <c r="D79" s="18"/>
      <c r="E79" s="3"/>
      <c r="F79" s="3"/>
      <c r="G79" s="3"/>
      <c r="H79" s="3"/>
      <c r="I79" s="3"/>
      <c r="J79" s="3"/>
      <c r="K79" s="5"/>
      <c r="L79" s="5"/>
      <c r="M79" s="3"/>
      <c r="N79" s="3"/>
      <c r="O79" s="4" t="str">
        <f t="shared" ca="1" si="2"/>
        <v/>
      </c>
      <c r="P79" s="3"/>
    </row>
    <row r="80" spans="1:16" ht="26.1" customHeight="1">
      <c r="A80" s="18"/>
      <c r="B80" s="18"/>
      <c r="C80" s="18"/>
      <c r="D80" s="18"/>
      <c r="E80" s="3"/>
      <c r="F80" s="3"/>
      <c r="G80" s="3"/>
      <c r="H80" s="3"/>
      <c r="I80" s="3"/>
      <c r="J80" s="3"/>
      <c r="K80" s="5"/>
      <c r="L80" s="5"/>
      <c r="M80" s="3"/>
      <c r="N80" s="3"/>
      <c r="O80" s="4" t="str">
        <f t="shared" ca="1" si="2"/>
        <v/>
      </c>
      <c r="P80" s="3"/>
    </row>
    <row r="81" spans="1:16" ht="26.1" customHeight="1">
      <c r="A81" s="18"/>
      <c r="B81" s="18"/>
      <c r="C81" s="18"/>
      <c r="D81" s="18"/>
      <c r="E81" s="3"/>
      <c r="F81" s="3"/>
      <c r="G81" s="3"/>
      <c r="H81" s="3"/>
      <c r="I81" s="3"/>
      <c r="J81" s="3"/>
      <c r="K81" s="5"/>
      <c r="L81" s="5"/>
      <c r="M81" s="3"/>
      <c r="N81" s="3"/>
      <c r="O81" s="4" t="str">
        <f t="shared" ca="1" si="2"/>
        <v/>
      </c>
      <c r="P81" s="3"/>
    </row>
    <row r="82" spans="1:16" ht="26.1" customHeight="1">
      <c r="A82" s="18"/>
      <c r="B82" s="18"/>
      <c r="C82" s="18"/>
      <c r="D82" s="18"/>
      <c r="E82" s="3"/>
      <c r="F82" s="3"/>
      <c r="G82" s="3"/>
      <c r="H82" s="3"/>
      <c r="I82" s="3"/>
      <c r="J82" s="3"/>
      <c r="K82" s="5"/>
      <c r="L82" s="5"/>
      <c r="M82" s="3"/>
      <c r="N82" s="3"/>
      <c r="O82" s="4" t="str">
        <f t="shared" ca="1" si="2"/>
        <v/>
      </c>
      <c r="P82" s="3"/>
    </row>
    <row r="83" spans="1:16" ht="26.1" customHeight="1">
      <c r="A83" s="18"/>
      <c r="B83" s="18"/>
      <c r="C83" s="18"/>
      <c r="D83" s="18"/>
      <c r="E83" s="3"/>
      <c r="F83" s="3"/>
      <c r="G83" s="3"/>
      <c r="H83" s="3"/>
      <c r="I83" s="3"/>
      <c r="J83" s="3"/>
      <c r="K83" s="5"/>
      <c r="L83" s="5"/>
      <c r="M83" s="3"/>
      <c r="N83" s="3"/>
      <c r="O83" s="4" t="str">
        <f t="shared" ca="1" si="2"/>
        <v/>
      </c>
      <c r="P83" s="3"/>
    </row>
    <row r="84" spans="1:16" ht="26.1" customHeight="1">
      <c r="A84" s="18"/>
      <c r="B84" s="18"/>
      <c r="C84" s="18"/>
      <c r="D84" s="18"/>
      <c r="E84" s="3"/>
      <c r="F84" s="3"/>
      <c r="G84" s="3"/>
      <c r="H84" s="3"/>
      <c r="I84" s="3"/>
      <c r="J84" s="3"/>
      <c r="K84" s="5"/>
      <c r="L84" s="5"/>
      <c r="M84" s="3"/>
      <c r="N84" s="3"/>
      <c r="O84" s="4" t="str">
        <f t="shared" ca="1" si="2"/>
        <v/>
      </c>
      <c r="P84" s="3"/>
    </row>
    <row r="85" spans="1:16" ht="26.1" customHeight="1">
      <c r="A85" s="18"/>
      <c r="B85" s="18"/>
      <c r="C85" s="18"/>
      <c r="D85" s="18"/>
      <c r="E85" s="3"/>
      <c r="F85" s="3"/>
      <c r="G85" s="3"/>
      <c r="H85" s="3"/>
      <c r="I85" s="3"/>
      <c r="J85" s="3"/>
      <c r="K85" s="5"/>
      <c r="L85" s="5"/>
      <c r="M85" s="3"/>
      <c r="N85" s="3"/>
      <c r="O85" s="4" t="str">
        <f t="shared" ca="1" si="2"/>
        <v/>
      </c>
      <c r="P85" s="3"/>
    </row>
    <row r="86" spans="1:16" ht="26.1" customHeight="1">
      <c r="A86" s="18"/>
      <c r="B86" s="18"/>
      <c r="C86" s="18"/>
      <c r="D86" s="18"/>
      <c r="E86" s="3"/>
      <c r="F86" s="3"/>
      <c r="G86" s="3"/>
      <c r="H86" s="3"/>
      <c r="I86" s="3"/>
      <c r="J86" s="3"/>
      <c r="K86" s="5"/>
      <c r="L86" s="5"/>
      <c r="M86" s="3"/>
      <c r="N86" s="3"/>
      <c r="O86" s="4" t="str">
        <f t="shared" ca="1" si="2"/>
        <v/>
      </c>
      <c r="P86" s="3"/>
    </row>
    <row r="87" spans="1:16" ht="26.1" customHeight="1">
      <c r="A87" s="18"/>
      <c r="B87" s="18"/>
      <c r="C87" s="18"/>
      <c r="D87" s="18"/>
      <c r="E87" s="3"/>
      <c r="F87" s="3"/>
      <c r="G87" s="3"/>
      <c r="H87" s="3"/>
      <c r="I87" s="3"/>
      <c r="J87" s="3"/>
      <c r="K87" s="5"/>
      <c r="L87" s="5"/>
      <c r="M87" s="3"/>
      <c r="N87" s="3"/>
      <c r="O87" s="4" t="str">
        <f t="shared" ca="1" si="2"/>
        <v/>
      </c>
      <c r="P87" s="3"/>
    </row>
    <row r="88" spans="1:16" ht="26.1" customHeight="1">
      <c r="A88" s="18"/>
      <c r="B88" s="18"/>
      <c r="C88" s="18"/>
      <c r="D88" s="18"/>
      <c r="E88" s="3"/>
      <c r="F88" s="3"/>
      <c r="G88" s="3"/>
      <c r="H88" s="3"/>
      <c r="I88" s="3"/>
      <c r="J88" s="3"/>
      <c r="K88" s="5"/>
      <c r="L88" s="5"/>
      <c r="M88" s="3"/>
      <c r="N88" s="3"/>
      <c r="O88" s="4" t="str">
        <f t="shared" ca="1" si="2"/>
        <v/>
      </c>
      <c r="P88" s="3"/>
    </row>
    <row r="89" spans="1:16" ht="26.1" customHeight="1">
      <c r="A89" s="18"/>
      <c r="B89" s="18"/>
      <c r="C89" s="18"/>
      <c r="D89" s="18"/>
      <c r="E89" s="3"/>
      <c r="F89" s="3"/>
      <c r="G89" s="3"/>
      <c r="H89" s="3"/>
      <c r="I89" s="3"/>
      <c r="J89" s="3"/>
      <c r="K89" s="5"/>
      <c r="L89" s="5"/>
      <c r="M89" s="3"/>
      <c r="N89" s="3"/>
      <c r="O89" s="4" t="str">
        <f t="shared" ca="1" si="2"/>
        <v/>
      </c>
      <c r="P89" s="3"/>
    </row>
    <row r="90" spans="1:16" ht="26.1" customHeight="1">
      <c r="A90" s="18"/>
      <c r="B90" s="18"/>
      <c r="C90" s="18"/>
      <c r="D90" s="18"/>
      <c r="E90" s="3"/>
      <c r="F90" s="3"/>
      <c r="G90" s="3"/>
      <c r="H90" s="3"/>
      <c r="I90" s="3"/>
      <c r="J90" s="3"/>
      <c r="K90" s="5"/>
      <c r="L90" s="5"/>
      <c r="M90" s="3"/>
      <c r="N90" s="3"/>
      <c r="O90" s="4" t="str">
        <f t="shared" ca="1" si="2"/>
        <v/>
      </c>
      <c r="P90" s="3"/>
    </row>
    <row r="91" spans="1:16" ht="26.1" customHeight="1">
      <c r="A91" s="18"/>
      <c r="B91" s="18"/>
      <c r="C91" s="18"/>
      <c r="D91" s="18"/>
      <c r="E91" s="3"/>
      <c r="F91" s="3"/>
      <c r="G91" s="3"/>
      <c r="H91" s="3"/>
      <c r="I91" s="3"/>
      <c r="J91" s="3"/>
      <c r="K91" s="5"/>
      <c r="L91" s="5"/>
      <c r="M91" s="3"/>
      <c r="N91" s="3"/>
      <c r="O91" s="4" t="str">
        <f t="shared" ca="1" si="2"/>
        <v/>
      </c>
      <c r="P91" s="3"/>
    </row>
    <row r="92" spans="1:16" ht="26.1" customHeight="1">
      <c r="A92" s="18"/>
      <c r="B92" s="18"/>
      <c r="C92" s="18"/>
      <c r="D92" s="18"/>
      <c r="E92" s="3"/>
      <c r="F92" s="3"/>
      <c r="G92" s="3"/>
      <c r="H92" s="3"/>
      <c r="I92" s="3"/>
      <c r="J92" s="3"/>
      <c r="K92" s="5"/>
      <c r="L92" s="5"/>
      <c r="M92" s="3"/>
      <c r="N92" s="3"/>
      <c r="O92" s="4" t="str">
        <f t="shared" ca="1" si="2"/>
        <v/>
      </c>
      <c r="P92" s="3"/>
    </row>
    <row r="93" spans="1:16" ht="26.1" customHeight="1">
      <c r="A93" s="18"/>
      <c r="B93" s="18"/>
      <c r="C93" s="18"/>
      <c r="D93" s="18"/>
      <c r="E93" s="3"/>
      <c r="F93" s="3"/>
      <c r="G93" s="3"/>
      <c r="H93" s="3"/>
      <c r="I93" s="3"/>
      <c r="J93" s="3"/>
      <c r="K93" s="5"/>
      <c r="L93" s="5"/>
      <c r="M93" s="3"/>
      <c r="N93" s="3"/>
      <c r="O93" s="4" t="str">
        <f t="shared" ca="1" si="2"/>
        <v/>
      </c>
      <c r="P93" s="3"/>
    </row>
    <row r="94" spans="1:16" ht="26.1" customHeight="1">
      <c r="A94" s="18"/>
      <c r="B94" s="18"/>
      <c r="C94" s="18"/>
      <c r="D94" s="18"/>
      <c r="E94" s="3"/>
      <c r="F94" s="3"/>
      <c r="G94" s="3"/>
      <c r="H94" s="3"/>
      <c r="I94" s="3"/>
      <c r="J94" s="3"/>
      <c r="K94" s="5"/>
      <c r="L94" s="5"/>
      <c r="M94" s="3"/>
      <c r="N94" s="3"/>
      <c r="O94" s="4" t="str">
        <f t="shared" ca="1" si="2"/>
        <v/>
      </c>
      <c r="P94" s="3"/>
    </row>
    <row r="95" spans="1:16" ht="26.1" customHeight="1">
      <c r="A95" s="18"/>
      <c r="B95" s="18"/>
      <c r="C95" s="18"/>
      <c r="D95" s="18"/>
      <c r="E95" s="3"/>
      <c r="F95" s="3"/>
      <c r="G95" s="3"/>
      <c r="H95" s="3"/>
      <c r="I95" s="3"/>
      <c r="J95" s="3"/>
      <c r="K95" s="5"/>
      <c r="L95" s="5"/>
      <c r="M95" s="3"/>
      <c r="N95" s="3"/>
      <c r="O95" s="4" t="str">
        <f t="shared" ca="1" si="2"/>
        <v/>
      </c>
      <c r="P95" s="3"/>
    </row>
    <row r="96" spans="1:16" ht="26.1" customHeight="1">
      <c r="A96" s="18"/>
      <c r="B96" s="18"/>
      <c r="C96" s="18"/>
      <c r="D96" s="18"/>
      <c r="E96" s="3"/>
      <c r="F96" s="3"/>
      <c r="G96" s="3"/>
      <c r="H96" s="3"/>
      <c r="I96" s="3"/>
      <c r="J96" s="3"/>
      <c r="K96" s="5"/>
      <c r="L96" s="5"/>
      <c r="M96" s="3"/>
      <c r="N96" s="3"/>
      <c r="O96" s="4" t="str">
        <f t="shared" ca="1" si="2"/>
        <v/>
      </c>
      <c r="P96" s="3"/>
    </row>
    <row r="97" spans="1:16" ht="26.1" customHeight="1">
      <c r="A97" s="18"/>
      <c r="B97" s="18"/>
      <c r="C97" s="18"/>
      <c r="D97" s="18"/>
      <c r="E97" s="3"/>
      <c r="F97" s="3"/>
      <c r="G97" s="3"/>
      <c r="H97" s="3"/>
      <c r="I97" s="3"/>
      <c r="J97" s="3"/>
      <c r="K97" s="5"/>
      <c r="L97" s="5"/>
      <c r="M97" s="3"/>
      <c r="N97" s="3"/>
      <c r="O97" s="4" t="str">
        <f t="shared" ca="1" si="2"/>
        <v/>
      </c>
      <c r="P97" s="3"/>
    </row>
    <row r="98" spans="1:16" ht="26.1" customHeight="1">
      <c r="A98" s="18"/>
      <c r="B98" s="18"/>
      <c r="C98" s="18"/>
      <c r="D98" s="18"/>
      <c r="E98" s="3"/>
      <c r="F98" s="3"/>
      <c r="G98" s="3"/>
      <c r="H98" s="3"/>
      <c r="I98" s="3"/>
      <c r="J98" s="3"/>
      <c r="K98" s="5"/>
      <c r="L98" s="5"/>
      <c r="M98" s="3"/>
      <c r="N98" s="3"/>
      <c r="O98" s="4" t="str">
        <f t="shared" ca="1" si="2"/>
        <v/>
      </c>
      <c r="P98" s="3"/>
    </row>
    <row r="99" spans="1:16" ht="26.1" customHeight="1">
      <c r="A99" s="18"/>
      <c r="B99" s="18"/>
      <c r="C99" s="18"/>
      <c r="D99" s="18"/>
      <c r="E99" s="3"/>
      <c r="F99" s="3"/>
      <c r="G99" s="3"/>
      <c r="H99" s="3"/>
      <c r="I99" s="3"/>
      <c r="J99" s="3"/>
      <c r="K99" s="5"/>
      <c r="L99" s="5"/>
      <c r="M99" s="3"/>
      <c r="N99" s="3"/>
      <c r="O99" s="4" t="str">
        <f t="shared" ca="1" si="2"/>
        <v/>
      </c>
      <c r="P99" s="3"/>
    </row>
    <row r="100" spans="1:16" ht="26.1" customHeight="1">
      <c r="A100" s="18"/>
      <c r="B100" s="18"/>
      <c r="C100" s="18"/>
      <c r="D100" s="18"/>
      <c r="E100" s="3"/>
      <c r="F100" s="3"/>
      <c r="G100" s="3"/>
      <c r="H100" s="3"/>
      <c r="I100" s="3"/>
      <c r="J100" s="3"/>
      <c r="K100" s="5"/>
      <c r="L100" s="5"/>
      <c r="M100" s="3"/>
      <c r="N100" s="3"/>
      <c r="O100" s="4" t="str">
        <f t="shared" ca="1" si="2"/>
        <v/>
      </c>
      <c r="P100" s="3"/>
    </row>
    <row r="101" spans="1:16" ht="26.1" customHeight="1">
      <c r="A101" s="18"/>
      <c r="B101" s="18"/>
      <c r="C101" s="18"/>
      <c r="D101" s="18"/>
      <c r="E101" s="3"/>
      <c r="F101" s="3"/>
      <c r="G101" s="3"/>
      <c r="H101" s="3"/>
      <c r="I101" s="3"/>
      <c r="J101" s="3"/>
      <c r="K101" s="5"/>
      <c r="L101" s="5"/>
      <c r="M101" s="3"/>
      <c r="N101" s="3"/>
      <c r="O101" s="4" t="str">
        <f t="shared" ca="1" si="2"/>
        <v/>
      </c>
      <c r="P101" s="3"/>
    </row>
    <row r="102" spans="1:16" ht="26.1" customHeight="1">
      <c r="A102" s="18"/>
      <c r="B102" s="18"/>
      <c r="C102" s="18"/>
      <c r="D102" s="18"/>
      <c r="E102" s="3"/>
      <c r="F102" s="3"/>
      <c r="G102" s="3"/>
      <c r="H102" s="3"/>
      <c r="I102" s="3"/>
      <c r="J102" s="3"/>
      <c r="K102" s="5"/>
      <c r="L102" s="5"/>
      <c r="M102" s="3"/>
      <c r="N102" s="3"/>
      <c r="O102" s="4" t="str">
        <f t="shared" ca="1" si="2"/>
        <v/>
      </c>
      <c r="P102" s="3"/>
    </row>
    <row r="103" spans="1:16" ht="26.1" customHeight="1">
      <c r="A103" s="18"/>
      <c r="B103" s="18"/>
      <c r="C103" s="18"/>
      <c r="D103" s="18"/>
      <c r="E103" s="3"/>
      <c r="F103" s="3"/>
      <c r="G103" s="3"/>
      <c r="H103" s="3"/>
      <c r="I103" s="3"/>
      <c r="J103" s="3"/>
      <c r="K103" s="5"/>
      <c r="L103" s="5"/>
      <c r="M103" s="3"/>
      <c r="N103" s="3"/>
      <c r="O103" s="4" t="str">
        <f t="shared" ca="1" si="2"/>
        <v/>
      </c>
      <c r="P103" s="3"/>
    </row>
    <row r="104" spans="1:16" ht="26.1" customHeight="1">
      <c r="A104" s="18"/>
      <c r="B104" s="18"/>
      <c r="C104" s="18"/>
      <c r="D104" s="18"/>
      <c r="E104" s="3"/>
      <c r="F104" s="3"/>
      <c r="G104" s="3"/>
      <c r="H104" s="3"/>
      <c r="I104" s="3"/>
      <c r="J104" s="3"/>
      <c r="K104" s="5"/>
      <c r="L104" s="5"/>
      <c r="M104" s="3"/>
      <c r="N104" s="3"/>
      <c r="O104" s="4" t="str">
        <f t="shared" ca="1" si="2"/>
        <v/>
      </c>
      <c r="P104" s="3"/>
    </row>
    <row r="105" spans="1:16" ht="26.1" customHeight="1">
      <c r="A105" s="18"/>
      <c r="B105" s="18"/>
      <c r="C105" s="18"/>
      <c r="D105" s="18"/>
      <c r="E105" s="3"/>
      <c r="F105" s="3"/>
      <c r="G105" s="3"/>
      <c r="H105" s="3"/>
      <c r="I105" s="3"/>
      <c r="J105" s="3"/>
      <c r="K105" s="5"/>
      <c r="L105" s="5"/>
      <c r="M105" s="3"/>
      <c r="N105" s="3"/>
      <c r="O105" s="4" t="str">
        <f t="shared" ca="1" si="2"/>
        <v/>
      </c>
      <c r="P105" s="3"/>
    </row>
    <row r="106" spans="1:16" ht="26.1" customHeight="1">
      <c r="A106" s="18"/>
      <c r="B106" s="18"/>
      <c r="C106" s="18"/>
      <c r="D106" s="18"/>
      <c r="E106" s="3"/>
      <c r="F106" s="3"/>
      <c r="G106" s="3"/>
      <c r="H106" s="3"/>
      <c r="I106" s="3"/>
      <c r="J106" s="3"/>
      <c r="K106" s="5"/>
      <c r="L106" s="5"/>
      <c r="M106" s="3"/>
      <c r="N106" s="3"/>
      <c r="O106" s="4" t="str">
        <f t="shared" ca="1" si="2"/>
        <v/>
      </c>
      <c r="P106" s="3"/>
    </row>
    <row r="107" spans="1:16">
      <c r="A107" s="18"/>
      <c r="B107" s="18"/>
      <c r="C107" s="18"/>
      <c r="D107" s="18"/>
    </row>
    <row r="108" spans="1:16">
      <c r="A108" s="18"/>
      <c r="B108" s="18"/>
      <c r="C108" s="18"/>
      <c r="D108" s="18"/>
    </row>
    <row r="109" spans="1:16">
      <c r="A109" s="18"/>
      <c r="B109" s="18"/>
      <c r="C109" s="18"/>
      <c r="D109" s="18"/>
    </row>
    <row r="110" spans="1:16">
      <c r="A110" s="18"/>
      <c r="B110" s="18"/>
      <c r="C110" s="18"/>
      <c r="D110" s="18"/>
    </row>
  </sheetData>
  <mergeCells count="1">
    <mergeCell ref="E5:P5"/>
  </mergeCells>
  <phoneticPr fontId="36" type="noConversion"/>
  <conditionalFormatting sqref="E7:E106">
    <cfRule type="expression" dxfId="3" priority="2">
      <formula>AND(E7&lt;&gt;"",COUNTIFS($E$7:$E$106,E7)&gt;1)</formula>
    </cfRule>
  </conditionalFormatting>
  <conditionalFormatting sqref="N7:N106">
    <cfRule type="cellIs" dxfId="2" priority="3" operator="equal">
      <formula>"Pending validation"</formula>
    </cfRule>
    <cfRule type="cellIs" dxfId="1" priority="4" operator="equal">
      <formula>"Validated"</formula>
    </cfRule>
    <cfRule type="cellIs" dxfId="0" priority="5" operator="equal">
      <formula>"Rejected"</formula>
    </cfRule>
  </conditionalFormatting>
  <conditionalFormatting sqref="O7:O106">
    <cfRule type="colorScale" priority="1">
      <colorScale>
        <cfvo type="min"/>
        <cfvo type="max"/>
        <color rgb="FFFFFFFF"/>
        <color rgb="FFFECACA"/>
      </colorScale>
    </cfRule>
  </conditionalFormatting>
  <dataValidations count="5">
    <dataValidation type="list" allowBlank="1" showErrorMessage="1" errorTitle="Select an allowed option" error="Choose a dropdown value or leave an unknown input blank." sqref="I7:I106" xr:uid="{00000000-0002-0000-0400-000000000000}">
      <formula1>"Pending approval,Approved,Rejected"</formula1>
    </dataValidation>
    <dataValidation type="list" allowBlank="1" showErrorMessage="1" errorTitle="Select an allowed option" error="Choose a dropdown value or leave an unknown input blank." sqref="J7:J106" xr:uid="{00000000-0002-0000-0400-000001000000}">
      <formula1>"Proposed,Open,In progress,Blocked,Completed"</formula1>
    </dataValidation>
    <dataValidation type="list" allowBlank="1" showErrorMessage="1" errorTitle="Select an allowed option" error="Choose a dropdown value or leave an unknown input blank." sqref="N7:N106" xr:uid="{00000000-0002-0000-0400-000002000000}">
      <formula1>"Pending validation,Validated,Rejected"</formula1>
    </dataValidation>
    <dataValidation type="list" allowBlank="1" showErrorMessage="1" errorTitle="Select an allowed option" error="Choose a dropdown value or leave an unknown input blank." sqref="F7:F106" xr:uid="{00000000-0002-0000-0400-000003000000}">
      <formula1>RiskIDs</formula1>
    </dataValidation>
    <dataValidation type="list" allowBlank="1" showErrorMessage="1" errorTitle="Select a valid value" error="Choose an existing evidence ID or an allowed scoring threshold." sqref="M7:M106" xr:uid="{00000000-0002-0000-0400-000004000000}">
      <formula1>EvidenceIDs</formula1>
    </dataValidation>
  </dataValidation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02F47"/>
  </sheetPr>
  <dimension ref="A1:P110"/>
  <sheetViews>
    <sheetView showGridLines="0" showRowColHeaders="0" workbookViewId="0">
      <pane xSplit="4" topLeftCell="E1" activePane="topRight" state="frozen"/>
      <selection pane="topRight"/>
    </sheetView>
  </sheetViews>
  <sheetFormatPr defaultRowHeight="14.25"/>
  <cols>
    <col min="1" max="4" width="7.25" customWidth="1"/>
    <col min="5" max="5" width="13" customWidth="1"/>
    <col min="6" max="8" width="29" customWidth="1"/>
    <col min="9" max="16" width="13" customWidth="1"/>
  </cols>
  <sheetData>
    <row r="1" spans="1:16" ht="28.5" customHeight="1">
      <c r="A1" s="18"/>
      <c r="B1" s="18"/>
      <c r="C1" s="18"/>
      <c r="D1" s="18"/>
      <c r="E1" s="16"/>
      <c r="F1" s="17"/>
      <c r="G1" s="17"/>
      <c r="H1" s="17"/>
      <c r="I1" s="17"/>
      <c r="J1" s="17"/>
      <c r="K1" s="17"/>
      <c r="L1" s="17"/>
      <c r="M1" s="17"/>
      <c r="N1" s="17"/>
      <c r="O1" s="17"/>
      <c r="P1" s="17"/>
    </row>
    <row r="2" spans="1:16" ht="28.5" customHeight="1">
      <c r="A2" s="18"/>
      <c r="B2" s="18"/>
      <c r="C2" s="18"/>
      <c r="D2" s="18"/>
      <c r="E2" s="17"/>
      <c r="F2" s="17"/>
      <c r="G2" s="17"/>
      <c r="H2" s="17"/>
      <c r="I2" s="17"/>
      <c r="J2" s="17"/>
      <c r="K2" s="17"/>
      <c r="L2" s="17"/>
      <c r="M2" s="17"/>
      <c r="N2" s="17"/>
      <c r="O2" s="17"/>
      <c r="P2" s="17"/>
    </row>
    <row r="3" spans="1:16" ht="15" customHeight="1">
      <c r="A3" s="18"/>
      <c r="B3" s="18"/>
      <c r="C3" s="18"/>
      <c r="D3" s="18"/>
      <c r="E3" s="17"/>
      <c r="F3" s="17"/>
      <c r="G3" s="17"/>
      <c r="H3" s="17"/>
      <c r="I3" s="17"/>
      <c r="J3" s="17"/>
      <c r="K3" s="17"/>
      <c r="L3" s="17"/>
      <c r="M3" s="17"/>
      <c r="N3" s="17"/>
      <c r="O3" s="17"/>
      <c r="P3" s="17"/>
    </row>
    <row r="4" spans="1:16" ht="15" customHeight="1">
      <c r="A4" s="18"/>
      <c r="B4" s="18"/>
      <c r="C4" s="18"/>
      <c r="D4" s="18"/>
      <c r="E4" s="16"/>
      <c r="F4" s="16"/>
      <c r="G4" s="16"/>
      <c r="H4" s="16"/>
      <c r="I4" s="16"/>
      <c r="J4" s="16"/>
      <c r="K4" s="16"/>
      <c r="L4" s="16"/>
      <c r="M4" s="16"/>
      <c r="N4" s="16"/>
      <c r="O4" s="16"/>
      <c r="P4" s="16"/>
    </row>
    <row r="5" spans="1:16" ht="21" customHeight="1">
      <c r="A5" s="18"/>
      <c r="B5" s="18"/>
      <c r="C5" s="18"/>
      <c r="D5" s="18"/>
      <c r="E5" s="28" t="s">
        <v>230</v>
      </c>
      <c r="F5" s="28"/>
      <c r="G5" s="28"/>
      <c r="H5" s="28"/>
      <c r="I5" s="28"/>
      <c r="J5" s="28"/>
      <c r="K5" s="28"/>
      <c r="L5" s="28"/>
      <c r="M5" s="28"/>
      <c r="N5" s="28"/>
      <c r="O5" s="28"/>
      <c r="P5" s="28"/>
    </row>
    <row r="6" spans="1:16" ht="26.1" customHeight="1">
      <c r="A6" s="18"/>
      <c r="B6" s="18"/>
      <c r="C6" s="18"/>
      <c r="D6" s="18"/>
      <c r="E6" s="72" t="s">
        <v>119</v>
      </c>
      <c r="F6" s="72"/>
      <c r="G6" s="72"/>
      <c r="H6" s="72"/>
      <c r="I6" s="72"/>
      <c r="J6" s="72"/>
      <c r="K6" s="72"/>
      <c r="L6" s="72"/>
      <c r="M6" s="72"/>
      <c r="N6" s="72"/>
      <c r="O6" s="72"/>
      <c r="P6" s="72"/>
    </row>
    <row r="7" spans="1:16" ht="26.1" customHeight="1">
      <c r="A7" s="18"/>
      <c r="B7" s="18"/>
      <c r="C7" s="18"/>
      <c r="D7" s="18"/>
      <c r="E7" s="72"/>
      <c r="F7" s="72"/>
      <c r="G7" s="72"/>
      <c r="H7" s="72"/>
      <c r="I7" s="72"/>
      <c r="J7" s="72"/>
      <c r="K7" s="72"/>
      <c r="L7" s="72"/>
      <c r="M7" s="72"/>
      <c r="N7" s="72"/>
      <c r="O7" s="72"/>
      <c r="P7" s="72"/>
    </row>
    <row r="8" spans="1:16" ht="26.1" customHeight="1">
      <c r="A8" s="18"/>
      <c r="B8" s="18"/>
      <c r="C8" s="18"/>
      <c r="D8" s="18"/>
      <c r="E8" s="7" t="s">
        <v>120</v>
      </c>
      <c r="F8" s="7" t="s">
        <v>121</v>
      </c>
      <c r="G8" s="7" t="s">
        <v>122</v>
      </c>
      <c r="H8" s="7" t="s">
        <v>123</v>
      </c>
      <c r="I8" s="1"/>
      <c r="J8" s="1"/>
      <c r="K8" s="1"/>
      <c r="L8" s="1"/>
      <c r="M8" s="1"/>
      <c r="N8" s="1"/>
      <c r="O8" s="1"/>
      <c r="P8" s="1"/>
    </row>
    <row r="9" spans="1:16" ht="38.1" customHeight="1">
      <c r="A9" s="18"/>
      <c r="B9" s="18"/>
      <c r="C9" s="18"/>
      <c r="D9" s="18"/>
      <c r="E9" s="8">
        <v>1</v>
      </c>
      <c r="F9" s="8" t="s">
        <v>124</v>
      </c>
      <c r="G9" s="8" t="s">
        <v>125</v>
      </c>
      <c r="H9" s="8" t="s">
        <v>126</v>
      </c>
      <c r="I9" s="1"/>
      <c r="J9" s="1"/>
      <c r="K9" s="1"/>
      <c r="L9" s="1"/>
      <c r="M9" s="1"/>
      <c r="N9" s="1"/>
      <c r="O9" s="1"/>
      <c r="P9" s="1"/>
    </row>
    <row r="10" spans="1:16" ht="38.1" customHeight="1">
      <c r="A10" s="18"/>
      <c r="B10" s="18"/>
      <c r="C10" s="18"/>
      <c r="D10" s="18"/>
      <c r="E10" s="8">
        <v>2</v>
      </c>
      <c r="F10" s="8" t="s">
        <v>127</v>
      </c>
      <c r="G10" s="8" t="s">
        <v>128</v>
      </c>
      <c r="H10" s="8" t="s">
        <v>129</v>
      </c>
      <c r="I10" s="1"/>
      <c r="J10" s="1"/>
      <c r="K10" s="1"/>
      <c r="L10" s="1"/>
      <c r="M10" s="1"/>
      <c r="N10" s="1"/>
      <c r="O10" s="1"/>
      <c r="P10" s="1"/>
    </row>
    <row r="11" spans="1:16" ht="38.1" customHeight="1">
      <c r="A11" s="18"/>
      <c r="B11" s="18"/>
      <c r="C11" s="18"/>
      <c r="D11" s="18"/>
      <c r="E11" s="8">
        <v>3</v>
      </c>
      <c r="F11" s="8" t="s">
        <v>130</v>
      </c>
      <c r="G11" s="8" t="s">
        <v>3</v>
      </c>
      <c r="H11" s="8" t="s">
        <v>131</v>
      </c>
      <c r="I11" s="1"/>
      <c r="J11" s="1"/>
      <c r="K11" s="1"/>
      <c r="L11" s="1"/>
      <c r="M11" s="1"/>
      <c r="N11" s="1"/>
      <c r="O11" s="1"/>
      <c r="P11" s="1"/>
    </row>
    <row r="12" spans="1:16" ht="38.1" customHeight="1">
      <c r="A12" s="18"/>
      <c r="B12" s="18"/>
      <c r="C12" s="18"/>
      <c r="D12" s="18"/>
      <c r="E12" s="8">
        <v>4</v>
      </c>
      <c r="F12" s="8" t="s">
        <v>132</v>
      </c>
      <c r="G12" s="8" t="s">
        <v>133</v>
      </c>
      <c r="H12" s="8" t="s">
        <v>134</v>
      </c>
      <c r="I12" s="1"/>
      <c r="J12" s="1"/>
      <c r="K12" s="1"/>
      <c r="L12" s="1"/>
      <c r="M12" s="1"/>
      <c r="N12" s="1"/>
      <c r="O12" s="1"/>
      <c r="P12" s="1"/>
    </row>
    <row r="13" spans="1:16" ht="38.1" customHeight="1">
      <c r="A13" s="18"/>
      <c r="B13" s="18"/>
      <c r="C13" s="18"/>
      <c r="D13" s="18"/>
      <c r="E13" s="8">
        <v>5</v>
      </c>
      <c r="F13" s="8" t="s">
        <v>135</v>
      </c>
      <c r="G13" s="8" t="s">
        <v>136</v>
      </c>
      <c r="H13" s="8" t="s">
        <v>137</v>
      </c>
      <c r="I13" s="1"/>
      <c r="J13" s="1"/>
      <c r="K13" s="1"/>
      <c r="L13" s="1"/>
      <c r="M13" s="1"/>
      <c r="N13" s="1"/>
      <c r="O13" s="1"/>
      <c r="P13" s="1"/>
    </row>
    <row r="14" spans="1:16" ht="26.1" customHeight="1">
      <c r="A14" s="18"/>
      <c r="B14" s="18"/>
      <c r="C14" s="18"/>
      <c r="D14" s="18"/>
      <c r="E14" s="1"/>
      <c r="F14" s="1"/>
      <c r="G14" s="1"/>
      <c r="H14" s="1"/>
      <c r="I14" s="1"/>
      <c r="J14" s="1"/>
      <c r="K14" s="1"/>
      <c r="L14" s="1"/>
      <c r="M14" s="1"/>
      <c r="N14" s="1"/>
      <c r="O14" s="1"/>
      <c r="P14" s="1"/>
    </row>
    <row r="15" spans="1:16" ht="26.1" customHeight="1">
      <c r="A15" s="18"/>
      <c r="B15" s="18"/>
      <c r="C15" s="18"/>
      <c r="D15" s="18"/>
      <c r="E15" s="6" t="s">
        <v>138</v>
      </c>
      <c r="F15" s="6" t="s">
        <v>139</v>
      </c>
      <c r="G15" s="6" t="s">
        <v>140</v>
      </c>
      <c r="H15" s="1"/>
      <c r="I15" s="1"/>
      <c r="J15" s="1"/>
      <c r="K15" s="1"/>
      <c r="L15" s="1"/>
      <c r="M15" s="1"/>
      <c r="N15" s="1"/>
      <c r="O15" s="1"/>
      <c r="P15" s="1"/>
    </row>
    <row r="16" spans="1:16" ht="26.1" customHeight="1">
      <c r="A16" s="18"/>
      <c r="B16" s="18"/>
      <c r="C16" s="18"/>
      <c r="D16" s="18"/>
      <c r="E16" s="1" t="s">
        <v>3</v>
      </c>
      <c r="F16" s="1">
        <v>6</v>
      </c>
      <c r="G16" s="1">
        <f>F17-1</f>
        <v>11</v>
      </c>
      <c r="H16" s="1"/>
      <c r="I16" s="1"/>
      <c r="J16" s="1"/>
      <c r="K16" s="1"/>
      <c r="L16" s="1"/>
      <c r="M16" s="1"/>
      <c r="N16" s="1"/>
      <c r="O16" s="1"/>
      <c r="P16" s="1"/>
    </row>
    <row r="17" spans="1:16" ht="26.1" customHeight="1">
      <c r="A17" s="18"/>
      <c r="B17" s="18"/>
      <c r="C17" s="18"/>
      <c r="D17" s="18"/>
      <c r="E17" s="1" t="s">
        <v>5</v>
      </c>
      <c r="F17" s="1">
        <v>12</v>
      </c>
      <c r="G17" s="1">
        <f>F18-1</f>
        <v>19</v>
      </c>
      <c r="H17" s="1"/>
      <c r="I17" s="1"/>
      <c r="J17" s="1"/>
      <c r="K17" s="1"/>
      <c r="L17" s="1"/>
      <c r="M17" s="1"/>
      <c r="N17" s="1"/>
      <c r="O17" s="1"/>
      <c r="P17" s="1"/>
    </row>
    <row r="18" spans="1:16" ht="26.1" customHeight="1">
      <c r="A18" s="18"/>
      <c r="B18" s="18"/>
      <c r="C18" s="18"/>
      <c r="D18" s="18"/>
      <c r="E18" s="1" t="s">
        <v>8</v>
      </c>
      <c r="F18" s="1">
        <v>20</v>
      </c>
      <c r="G18" s="1">
        <f>25</f>
        <v>25</v>
      </c>
      <c r="H18" s="1"/>
      <c r="I18" s="1"/>
      <c r="J18" s="1"/>
      <c r="K18" s="1"/>
      <c r="L18" s="1"/>
      <c r="M18" s="1"/>
      <c r="N18" s="1"/>
      <c r="O18" s="1"/>
      <c r="P18" s="1"/>
    </row>
    <row r="19" spans="1:16" ht="26.1" customHeight="1">
      <c r="A19" s="18"/>
      <c r="B19" s="18"/>
      <c r="C19" s="18"/>
      <c r="D19" s="18"/>
      <c r="E19" s="1" t="s">
        <v>2</v>
      </c>
      <c r="F19" s="1">
        <f>1</f>
        <v>1</v>
      </c>
      <c r="G19" s="1">
        <f>F16-1</f>
        <v>5</v>
      </c>
      <c r="H19" s="1"/>
      <c r="I19" s="1"/>
      <c r="J19" s="1"/>
      <c r="K19" s="1"/>
      <c r="L19" s="1"/>
      <c r="M19" s="1"/>
      <c r="N19" s="1"/>
      <c r="O19" s="1"/>
      <c r="P19" s="1"/>
    </row>
    <row r="20" spans="1:16" ht="26.1" customHeight="1">
      <c r="A20" s="18"/>
      <c r="B20" s="18"/>
      <c r="C20" s="18"/>
      <c r="D20" s="18"/>
      <c r="E20" s="1"/>
      <c r="F20" s="1"/>
      <c r="G20" s="1"/>
      <c r="H20" s="1"/>
      <c r="I20" s="1"/>
      <c r="J20" s="1"/>
      <c r="K20" s="1"/>
      <c r="L20" s="1"/>
      <c r="M20" s="1"/>
      <c r="N20" s="1"/>
      <c r="O20" s="1"/>
      <c r="P20" s="1"/>
    </row>
    <row r="21" spans="1:16" ht="26.1" customHeight="1">
      <c r="A21" s="18"/>
      <c r="B21" s="18"/>
      <c r="C21" s="18"/>
      <c r="D21" s="18"/>
      <c r="E21" s="1"/>
      <c r="F21" s="1"/>
      <c r="G21" s="1"/>
      <c r="H21" s="1"/>
      <c r="I21" s="1"/>
      <c r="J21" s="1"/>
      <c r="K21" s="1"/>
      <c r="L21" s="1"/>
      <c r="M21" s="1"/>
      <c r="N21" s="1"/>
      <c r="O21" s="1"/>
      <c r="P21" s="1"/>
    </row>
    <row r="22" spans="1:16" ht="26.1" customHeight="1">
      <c r="A22" s="18"/>
      <c r="B22" s="18"/>
      <c r="C22" s="18"/>
      <c r="D22" s="18"/>
      <c r="E22" s="71" t="s">
        <v>234</v>
      </c>
      <c r="F22" s="71"/>
      <c r="G22" s="71"/>
      <c r="H22" s="71"/>
      <c r="I22" s="71"/>
      <c r="J22" s="71"/>
      <c r="K22" s="71"/>
      <c r="L22" s="71"/>
      <c r="M22" s="71"/>
      <c r="N22" s="71"/>
      <c r="O22" s="71"/>
      <c r="P22" s="71"/>
    </row>
    <row r="23" spans="1:16" ht="26.1" customHeight="1">
      <c r="A23" s="18"/>
      <c r="B23" s="18"/>
      <c r="C23" s="18"/>
      <c r="D23" s="18"/>
      <c r="E23" s="71"/>
      <c r="F23" s="71"/>
      <c r="G23" s="71"/>
      <c r="H23" s="71"/>
      <c r="I23" s="71"/>
      <c r="J23" s="71"/>
      <c r="K23" s="71"/>
      <c r="L23" s="71"/>
      <c r="M23" s="71"/>
      <c r="N23" s="71"/>
      <c r="O23" s="71"/>
      <c r="P23" s="71"/>
    </row>
    <row r="24" spans="1:16" ht="26.1" customHeight="1">
      <c r="A24" s="18"/>
      <c r="B24" s="18"/>
      <c r="C24" s="18"/>
      <c r="D24" s="18"/>
      <c r="E24" s="71"/>
      <c r="F24" s="71"/>
      <c r="G24" s="71"/>
      <c r="H24" s="71"/>
      <c r="I24" s="71"/>
      <c r="J24" s="71"/>
      <c r="K24" s="71"/>
      <c r="L24" s="71"/>
      <c r="M24" s="71"/>
      <c r="N24" s="71"/>
      <c r="O24" s="71"/>
      <c r="P24" s="71"/>
    </row>
    <row r="25" spans="1:16" ht="26.1" customHeight="1">
      <c r="A25" s="18"/>
      <c r="B25" s="18"/>
      <c r="C25" s="18"/>
      <c r="D25" s="18"/>
      <c r="E25" s="1"/>
      <c r="F25" s="1"/>
      <c r="G25" s="1"/>
      <c r="H25" s="1"/>
      <c r="I25" s="1"/>
      <c r="J25" s="1"/>
      <c r="K25" s="1"/>
      <c r="L25" s="1"/>
      <c r="M25" s="1"/>
      <c r="N25" s="1"/>
      <c r="O25" s="1"/>
      <c r="P25" s="1"/>
    </row>
    <row r="26" spans="1:16" ht="26.1" customHeight="1">
      <c r="A26" s="18"/>
      <c r="B26" s="18"/>
      <c r="C26" s="18"/>
      <c r="D26" s="18"/>
      <c r="E26" s="71" t="s">
        <v>141</v>
      </c>
      <c r="F26" s="71"/>
      <c r="G26" s="71"/>
      <c r="H26" s="71"/>
      <c r="I26" s="71"/>
      <c r="J26" s="71"/>
      <c r="K26" s="71"/>
      <c r="L26" s="71"/>
      <c r="M26" s="71"/>
      <c r="N26" s="71"/>
      <c r="O26" s="71"/>
      <c r="P26" s="71"/>
    </row>
    <row r="27" spans="1:16" ht="26.1" customHeight="1">
      <c r="A27" s="18"/>
      <c r="B27" s="18"/>
      <c r="C27" s="18"/>
      <c r="D27" s="18"/>
      <c r="E27" s="71"/>
      <c r="F27" s="71"/>
      <c r="G27" s="71"/>
      <c r="H27" s="71"/>
      <c r="I27" s="71"/>
      <c r="J27" s="71"/>
      <c r="K27" s="71"/>
      <c r="L27" s="71"/>
      <c r="M27" s="71"/>
      <c r="N27" s="71"/>
      <c r="O27" s="71"/>
      <c r="P27" s="71"/>
    </row>
    <row r="28" spans="1:16" ht="26.1" customHeight="1">
      <c r="A28" s="18"/>
      <c r="B28" s="18"/>
      <c r="C28" s="18"/>
      <c r="D28" s="18"/>
      <c r="E28" s="71"/>
      <c r="F28" s="71"/>
      <c r="G28" s="71"/>
      <c r="H28" s="71"/>
      <c r="I28" s="71"/>
      <c r="J28" s="71"/>
      <c r="K28" s="71"/>
      <c r="L28" s="71"/>
      <c r="M28" s="71"/>
      <c r="N28" s="71"/>
      <c r="O28" s="71"/>
      <c r="P28" s="71"/>
    </row>
    <row r="29" spans="1:16" ht="26.1" customHeight="1">
      <c r="A29" s="18"/>
      <c r="B29" s="18"/>
      <c r="C29" s="18"/>
      <c r="D29" s="18"/>
      <c r="E29" s="71"/>
      <c r="F29" s="71"/>
      <c r="G29" s="71"/>
      <c r="H29" s="71"/>
      <c r="I29" s="71"/>
      <c r="J29" s="71"/>
      <c r="K29" s="71"/>
      <c r="L29" s="71"/>
      <c r="M29" s="71"/>
      <c r="N29" s="71"/>
      <c r="O29" s="71"/>
      <c r="P29" s="71"/>
    </row>
    <row r="30" spans="1:16" ht="26.1" customHeight="1">
      <c r="A30" s="18"/>
      <c r="B30" s="18"/>
      <c r="C30" s="18"/>
      <c r="D30" s="18"/>
      <c r="E30" s="1"/>
      <c r="F30" s="1"/>
      <c r="G30" s="1"/>
      <c r="H30" s="1"/>
      <c r="I30" s="1"/>
      <c r="J30" s="1"/>
      <c r="K30" s="1"/>
      <c r="L30" s="1"/>
      <c r="M30" s="1"/>
      <c r="N30" s="1"/>
      <c r="O30" s="1"/>
      <c r="P30" s="1"/>
    </row>
    <row r="31" spans="1:16" ht="26.1" customHeight="1">
      <c r="A31" s="18"/>
      <c r="B31" s="18"/>
      <c r="C31" s="18"/>
      <c r="D31" s="18"/>
      <c r="E31" s="71" t="s">
        <v>142</v>
      </c>
      <c r="F31" s="71"/>
      <c r="G31" s="71"/>
      <c r="H31" s="71"/>
      <c r="I31" s="71"/>
      <c r="J31" s="71"/>
      <c r="K31" s="71"/>
      <c r="L31" s="71"/>
      <c r="M31" s="71"/>
      <c r="N31" s="71"/>
      <c r="O31" s="71"/>
      <c r="P31" s="71"/>
    </row>
    <row r="32" spans="1:16" ht="26.1" customHeight="1">
      <c r="A32" s="18"/>
      <c r="B32" s="18"/>
      <c r="C32" s="18"/>
      <c r="D32" s="18"/>
      <c r="E32" s="71"/>
      <c r="F32" s="71"/>
      <c r="G32" s="71"/>
      <c r="H32" s="71"/>
      <c r="I32" s="71"/>
      <c r="J32" s="71"/>
      <c r="K32" s="71"/>
      <c r="L32" s="71"/>
      <c r="M32" s="71"/>
      <c r="N32" s="71"/>
      <c r="O32" s="71"/>
      <c r="P32" s="71"/>
    </row>
    <row r="33" spans="1:16" ht="26.1" customHeight="1">
      <c r="A33" s="18"/>
      <c r="B33" s="18"/>
      <c r="C33" s="18"/>
      <c r="D33" s="18"/>
      <c r="E33" s="71"/>
      <c r="F33" s="71"/>
      <c r="G33" s="71"/>
      <c r="H33" s="71"/>
      <c r="I33" s="71"/>
      <c r="J33" s="71"/>
      <c r="K33" s="71"/>
      <c r="L33" s="71"/>
      <c r="M33" s="71"/>
      <c r="N33" s="71"/>
      <c r="O33" s="71"/>
      <c r="P33" s="71"/>
    </row>
    <row r="34" spans="1:16" ht="26.1" customHeight="1">
      <c r="A34" s="18"/>
      <c r="B34" s="18"/>
      <c r="C34" s="18"/>
      <c r="D34" s="18"/>
      <c r="E34" s="71"/>
      <c r="F34" s="71"/>
      <c r="G34" s="71"/>
      <c r="H34" s="71"/>
      <c r="I34" s="71"/>
      <c r="J34" s="71"/>
      <c r="K34" s="71"/>
      <c r="L34" s="71"/>
      <c r="M34" s="71"/>
      <c r="N34" s="71"/>
      <c r="O34" s="71"/>
      <c r="P34" s="71"/>
    </row>
    <row r="35" spans="1:16" ht="26.1" customHeight="1">
      <c r="A35" s="18"/>
      <c r="B35" s="18"/>
      <c r="C35" s="18"/>
      <c r="D35" s="18"/>
      <c r="E35" s="1"/>
      <c r="F35" s="1"/>
      <c r="G35" s="1"/>
      <c r="H35" s="1"/>
      <c r="I35" s="1"/>
      <c r="J35" s="1"/>
      <c r="K35" s="1"/>
      <c r="L35" s="1"/>
      <c r="M35" s="1"/>
      <c r="N35" s="1"/>
      <c r="O35" s="1"/>
      <c r="P35" s="1"/>
    </row>
    <row r="36" spans="1:16" ht="26.1" customHeight="1">
      <c r="A36" s="18"/>
      <c r="B36" s="18"/>
      <c r="C36" s="18"/>
      <c r="D36" s="18"/>
      <c r="E36" s="1"/>
      <c r="F36" s="1"/>
      <c r="G36" s="1"/>
      <c r="H36" s="1"/>
      <c r="I36" s="1"/>
      <c r="J36" s="1"/>
      <c r="K36" s="1"/>
      <c r="L36" s="1"/>
      <c r="M36" s="1"/>
      <c r="N36" s="1"/>
      <c r="O36" s="1"/>
      <c r="P36" s="1"/>
    </row>
    <row r="37" spans="1:16" ht="26.1" customHeight="1">
      <c r="A37" s="18"/>
      <c r="B37" s="18"/>
      <c r="C37" s="18"/>
      <c r="D37" s="18"/>
      <c r="E37" s="1"/>
      <c r="F37" s="1"/>
      <c r="G37" s="1"/>
      <c r="H37" s="1"/>
      <c r="I37" s="1"/>
      <c r="J37" s="1"/>
      <c r="K37" s="1"/>
      <c r="L37" s="1"/>
      <c r="M37" s="1"/>
      <c r="N37" s="1"/>
      <c r="O37" s="1"/>
      <c r="P37" s="1"/>
    </row>
    <row r="38" spans="1:16" ht="26.1" customHeight="1">
      <c r="A38" s="18"/>
      <c r="B38" s="18"/>
      <c r="C38" s="18"/>
      <c r="D38" s="18"/>
      <c r="E38" s="1"/>
      <c r="F38" s="1"/>
      <c r="G38" s="1"/>
      <c r="H38" s="1"/>
      <c r="I38" s="1"/>
      <c r="J38" s="1"/>
      <c r="K38" s="1"/>
      <c r="L38" s="1"/>
      <c r="M38" s="1"/>
      <c r="N38" s="1"/>
      <c r="O38" s="1"/>
      <c r="P38" s="1"/>
    </row>
    <row r="39" spans="1:16">
      <c r="A39" s="18"/>
      <c r="B39" s="18"/>
      <c r="C39" s="18"/>
      <c r="D39" s="18"/>
    </row>
    <row r="40" spans="1:16">
      <c r="A40" s="18"/>
      <c r="B40" s="18"/>
      <c r="C40" s="18"/>
      <c r="D40" s="18"/>
    </row>
    <row r="41" spans="1:16">
      <c r="A41" s="18"/>
      <c r="B41" s="18"/>
      <c r="C41" s="18"/>
      <c r="D41" s="18"/>
    </row>
    <row r="42" spans="1:16">
      <c r="A42" s="18"/>
      <c r="B42" s="18"/>
      <c r="C42" s="18"/>
      <c r="D42" s="18"/>
    </row>
    <row r="43" spans="1:16">
      <c r="A43" s="18"/>
      <c r="B43" s="18"/>
      <c r="C43" s="18"/>
      <c r="D43" s="18"/>
    </row>
    <row r="44" spans="1:16">
      <c r="A44" s="18"/>
      <c r="B44" s="18"/>
      <c r="C44" s="18"/>
      <c r="D44" s="18"/>
    </row>
    <row r="45" spans="1:16">
      <c r="A45" s="18"/>
      <c r="B45" s="18"/>
      <c r="C45" s="18"/>
      <c r="D45" s="18"/>
    </row>
    <row r="46" spans="1:16">
      <c r="A46" s="18"/>
      <c r="B46" s="18"/>
      <c r="C46" s="18"/>
      <c r="D46" s="18"/>
    </row>
    <row r="47" spans="1:16">
      <c r="A47" s="18"/>
      <c r="B47" s="18"/>
      <c r="C47" s="18"/>
      <c r="D47" s="18"/>
    </row>
    <row r="48" spans="1:16">
      <c r="A48" s="18"/>
      <c r="B48" s="18"/>
      <c r="C48" s="18"/>
      <c r="D48" s="18"/>
    </row>
    <row r="49" spans="1:4">
      <c r="A49" s="18"/>
      <c r="B49" s="18"/>
      <c r="C49" s="18"/>
      <c r="D49" s="18"/>
    </row>
    <row r="50" spans="1:4">
      <c r="A50" s="18"/>
      <c r="B50" s="18"/>
      <c r="C50" s="18"/>
      <c r="D50" s="18"/>
    </row>
    <row r="51" spans="1:4">
      <c r="A51" s="18"/>
      <c r="B51" s="18"/>
      <c r="C51" s="18"/>
      <c r="D51" s="18"/>
    </row>
    <row r="52" spans="1:4">
      <c r="A52" s="18"/>
      <c r="B52" s="18"/>
      <c r="C52" s="18"/>
      <c r="D52" s="18"/>
    </row>
    <row r="53" spans="1:4">
      <c r="A53" s="18"/>
      <c r="B53" s="18"/>
      <c r="C53" s="18"/>
      <c r="D53" s="18"/>
    </row>
    <row r="54" spans="1:4">
      <c r="A54" s="18"/>
      <c r="B54" s="18"/>
      <c r="C54" s="18"/>
      <c r="D54" s="18"/>
    </row>
    <row r="55" spans="1:4">
      <c r="A55" s="18"/>
      <c r="B55" s="18"/>
      <c r="C55" s="18"/>
      <c r="D55" s="18"/>
    </row>
    <row r="56" spans="1:4">
      <c r="A56" s="18"/>
      <c r="B56" s="18"/>
      <c r="C56" s="18"/>
      <c r="D56" s="18"/>
    </row>
    <row r="57" spans="1:4">
      <c r="A57" s="18"/>
      <c r="B57" s="18"/>
      <c r="C57" s="18"/>
      <c r="D57" s="18"/>
    </row>
    <row r="58" spans="1:4">
      <c r="A58" s="18"/>
      <c r="B58" s="18"/>
      <c r="C58" s="18"/>
      <c r="D58" s="18"/>
    </row>
    <row r="59" spans="1:4">
      <c r="A59" s="18"/>
      <c r="B59" s="18"/>
      <c r="C59" s="18"/>
      <c r="D59" s="18"/>
    </row>
    <row r="60" spans="1:4">
      <c r="A60" s="18"/>
      <c r="B60" s="18"/>
      <c r="C60" s="18"/>
      <c r="D60" s="18"/>
    </row>
    <row r="61" spans="1:4">
      <c r="A61" s="18"/>
      <c r="B61" s="18"/>
      <c r="C61" s="18"/>
      <c r="D61" s="18"/>
    </row>
    <row r="62" spans="1:4">
      <c r="A62" s="18"/>
      <c r="B62" s="18"/>
      <c r="C62" s="18"/>
      <c r="D62" s="18"/>
    </row>
    <row r="63" spans="1:4">
      <c r="A63" s="18"/>
      <c r="B63" s="18"/>
      <c r="C63" s="18"/>
      <c r="D63" s="18"/>
    </row>
    <row r="64" spans="1:4">
      <c r="A64" s="18"/>
      <c r="B64" s="18"/>
      <c r="C64" s="18"/>
      <c r="D64" s="18"/>
    </row>
    <row r="65" spans="1:4">
      <c r="A65" s="18"/>
      <c r="B65" s="18"/>
      <c r="C65" s="18"/>
      <c r="D65" s="18"/>
    </row>
    <row r="66" spans="1:4">
      <c r="A66" s="18"/>
      <c r="B66" s="18"/>
      <c r="C66" s="18"/>
      <c r="D66" s="18"/>
    </row>
    <row r="67" spans="1:4">
      <c r="A67" s="18"/>
      <c r="B67" s="18"/>
      <c r="C67" s="18"/>
      <c r="D67" s="18"/>
    </row>
    <row r="68" spans="1:4">
      <c r="A68" s="18"/>
      <c r="B68" s="18"/>
      <c r="C68" s="18"/>
      <c r="D68" s="18"/>
    </row>
    <row r="69" spans="1:4">
      <c r="A69" s="18"/>
      <c r="B69" s="18"/>
      <c r="C69" s="18"/>
      <c r="D69" s="18"/>
    </row>
    <row r="70" spans="1:4">
      <c r="A70" s="18"/>
      <c r="B70" s="18"/>
      <c r="C70" s="18"/>
      <c r="D70" s="18"/>
    </row>
    <row r="71" spans="1:4">
      <c r="A71" s="18"/>
      <c r="B71" s="18"/>
      <c r="C71" s="18"/>
      <c r="D71" s="18"/>
    </row>
    <row r="72" spans="1:4">
      <c r="A72" s="18"/>
      <c r="B72" s="18"/>
      <c r="C72" s="18"/>
      <c r="D72" s="18"/>
    </row>
    <row r="73" spans="1:4">
      <c r="A73" s="18"/>
      <c r="B73" s="18"/>
      <c r="C73" s="18"/>
      <c r="D73" s="18"/>
    </row>
    <row r="74" spans="1:4">
      <c r="A74" s="18"/>
      <c r="B74" s="18"/>
      <c r="C74" s="18"/>
      <c r="D74" s="18"/>
    </row>
    <row r="75" spans="1:4">
      <c r="A75" s="18"/>
      <c r="B75" s="18"/>
      <c r="C75" s="18"/>
      <c r="D75" s="18"/>
    </row>
    <row r="76" spans="1:4">
      <c r="A76" s="18"/>
      <c r="B76" s="18"/>
      <c r="C76" s="18"/>
      <c r="D76" s="18"/>
    </row>
    <row r="77" spans="1:4">
      <c r="A77" s="18"/>
      <c r="B77" s="18"/>
      <c r="C77" s="18"/>
      <c r="D77" s="18"/>
    </row>
    <row r="78" spans="1:4">
      <c r="A78" s="18"/>
      <c r="B78" s="18"/>
      <c r="C78" s="18"/>
      <c r="D78" s="18"/>
    </row>
    <row r="79" spans="1:4">
      <c r="A79" s="18"/>
      <c r="B79" s="18"/>
      <c r="C79" s="18"/>
      <c r="D79" s="18"/>
    </row>
    <row r="80" spans="1:4">
      <c r="A80" s="18"/>
      <c r="B80" s="18"/>
      <c r="C80" s="18"/>
      <c r="D80" s="18"/>
    </row>
    <row r="81" spans="1:4">
      <c r="A81" s="18"/>
      <c r="B81" s="18"/>
      <c r="C81" s="18"/>
      <c r="D81" s="18"/>
    </row>
    <row r="82" spans="1:4">
      <c r="A82" s="18"/>
      <c r="B82" s="18"/>
      <c r="C82" s="18"/>
      <c r="D82" s="18"/>
    </row>
    <row r="83" spans="1:4">
      <c r="A83" s="18"/>
      <c r="B83" s="18"/>
      <c r="C83" s="18"/>
      <c r="D83" s="18"/>
    </row>
    <row r="84" spans="1:4">
      <c r="A84" s="18"/>
      <c r="B84" s="18"/>
      <c r="C84" s="18"/>
      <c r="D84" s="18"/>
    </row>
    <row r="85" spans="1:4">
      <c r="A85" s="18"/>
      <c r="B85" s="18"/>
      <c r="C85" s="18"/>
      <c r="D85" s="18"/>
    </row>
    <row r="86" spans="1:4">
      <c r="A86" s="18"/>
      <c r="B86" s="18"/>
      <c r="C86" s="18"/>
      <c r="D86" s="18"/>
    </row>
    <row r="87" spans="1:4">
      <c r="A87" s="18"/>
      <c r="B87" s="18"/>
      <c r="C87" s="18"/>
      <c r="D87" s="18"/>
    </row>
    <row r="88" spans="1:4">
      <c r="A88" s="18"/>
      <c r="B88" s="18"/>
      <c r="C88" s="18"/>
      <c r="D88" s="18"/>
    </row>
    <row r="89" spans="1:4">
      <c r="A89" s="18"/>
      <c r="B89" s="18"/>
      <c r="C89" s="18"/>
      <c r="D89" s="18"/>
    </row>
    <row r="90" spans="1:4">
      <c r="A90" s="18"/>
      <c r="B90" s="18"/>
      <c r="C90" s="18"/>
      <c r="D90" s="18"/>
    </row>
    <row r="91" spans="1:4">
      <c r="A91" s="18"/>
      <c r="B91" s="18"/>
      <c r="C91" s="18"/>
      <c r="D91" s="18"/>
    </row>
    <row r="92" spans="1:4">
      <c r="A92" s="18"/>
      <c r="B92" s="18"/>
      <c r="C92" s="18"/>
      <c r="D92" s="18"/>
    </row>
    <row r="93" spans="1:4">
      <c r="A93" s="18"/>
      <c r="B93" s="18"/>
      <c r="C93" s="18"/>
      <c r="D93" s="18"/>
    </row>
    <row r="94" spans="1:4">
      <c r="A94" s="18"/>
      <c r="B94" s="18"/>
      <c r="C94" s="18"/>
      <c r="D94" s="18"/>
    </row>
    <row r="95" spans="1:4">
      <c r="A95" s="18"/>
      <c r="B95" s="18"/>
      <c r="C95" s="18"/>
      <c r="D95" s="18"/>
    </row>
    <row r="96" spans="1:4">
      <c r="A96" s="18"/>
      <c r="B96" s="18"/>
      <c r="C96" s="18"/>
      <c r="D96" s="18"/>
    </row>
    <row r="97" spans="1:4">
      <c r="A97" s="18"/>
      <c r="B97" s="18"/>
      <c r="C97" s="18"/>
      <c r="D97" s="18"/>
    </row>
    <row r="98" spans="1:4">
      <c r="A98" s="18"/>
      <c r="B98" s="18"/>
      <c r="C98" s="18"/>
      <c r="D98" s="18"/>
    </row>
    <row r="99" spans="1:4">
      <c r="A99" s="18"/>
      <c r="B99" s="18"/>
      <c r="C99" s="18"/>
      <c r="D99" s="18"/>
    </row>
    <row r="100" spans="1:4">
      <c r="A100" s="18"/>
      <c r="B100" s="18"/>
      <c r="C100" s="18"/>
      <c r="D100" s="18"/>
    </row>
    <row r="101" spans="1:4">
      <c r="A101" s="18"/>
      <c r="B101" s="18"/>
      <c r="C101" s="18"/>
      <c r="D101" s="18"/>
    </row>
    <row r="102" spans="1:4">
      <c r="A102" s="18"/>
      <c r="B102" s="18"/>
      <c r="C102" s="18"/>
      <c r="D102" s="18"/>
    </row>
    <row r="103" spans="1:4">
      <c r="A103" s="18"/>
      <c r="B103" s="18"/>
      <c r="C103" s="18"/>
      <c r="D103" s="18"/>
    </row>
    <row r="104" spans="1:4">
      <c r="A104" s="18"/>
      <c r="B104" s="18"/>
      <c r="C104" s="18"/>
      <c r="D104" s="18"/>
    </row>
    <row r="105" spans="1:4">
      <c r="A105" s="18"/>
      <c r="B105" s="18"/>
      <c r="C105" s="18"/>
      <c r="D105" s="18"/>
    </row>
    <row r="106" spans="1:4">
      <c r="A106" s="18"/>
      <c r="B106" s="18"/>
      <c r="C106" s="18"/>
      <c r="D106" s="18"/>
    </row>
    <row r="107" spans="1:4">
      <c r="A107" s="18"/>
      <c r="B107" s="18"/>
      <c r="C107" s="18"/>
      <c r="D107" s="18"/>
    </row>
    <row r="108" spans="1:4">
      <c r="A108" s="18"/>
      <c r="B108" s="18"/>
      <c r="C108" s="18"/>
      <c r="D108" s="18"/>
    </row>
    <row r="109" spans="1:4">
      <c r="A109" s="18"/>
      <c r="B109" s="18"/>
      <c r="C109" s="18"/>
      <c r="D109" s="18"/>
    </row>
    <row r="110" spans="1:4">
      <c r="A110" s="18"/>
      <c r="B110" s="18"/>
      <c r="C110" s="18"/>
      <c r="D110" s="18"/>
    </row>
  </sheetData>
  <mergeCells count="5">
    <mergeCell ref="E22:P24"/>
    <mergeCell ref="E26:P29"/>
    <mergeCell ref="E31:P34"/>
    <mergeCell ref="E5:P5"/>
    <mergeCell ref="E6:P7"/>
  </mergeCells>
  <dataValidations count="3">
    <dataValidation type="whole" allowBlank="1" showErrorMessage="1" errorTitle="Select a valid value" error="Choose an existing evidence ID or an allowed scoring threshold." sqref="F16" xr:uid="{00000000-0002-0000-0500-000000000000}">
      <formula1>2</formula1>
      <formula2>F17-1</formula2>
    </dataValidation>
    <dataValidation type="whole" allowBlank="1" showErrorMessage="1" errorTitle="Select a valid value" error="Choose an existing evidence ID or an allowed scoring threshold." sqref="F17" xr:uid="{00000000-0002-0000-0500-000001000000}">
      <formula1>F16+1</formula1>
      <formula2>F18-1</formula2>
    </dataValidation>
    <dataValidation type="whole" allowBlank="1" showErrorMessage="1" errorTitle="Select a valid value" error="Choose an existing evidence ID or an allowed scoring threshold." sqref="F18" xr:uid="{00000000-0002-0000-0500-000002000000}">
      <formula1>F17+1</formula1>
      <formula2>25</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02F47"/>
  </sheetPr>
  <dimension ref="A1:P110"/>
  <sheetViews>
    <sheetView showGridLines="0" showRowColHeaders="0" workbookViewId="0">
      <pane xSplit="4" topLeftCell="E1" activePane="topRight" state="frozen"/>
      <selection pane="topRight"/>
    </sheetView>
  </sheetViews>
  <sheetFormatPr defaultRowHeight="14.25"/>
  <cols>
    <col min="1" max="4" width="7.25" customWidth="1"/>
    <col min="5" max="16" width="13" customWidth="1"/>
  </cols>
  <sheetData>
    <row r="1" spans="1:16" ht="28.5" customHeight="1">
      <c r="A1" s="18"/>
      <c r="B1" s="18"/>
      <c r="C1" s="18"/>
      <c r="D1" s="18"/>
      <c r="E1" s="17"/>
      <c r="F1" s="17"/>
      <c r="G1" s="17"/>
      <c r="H1" s="17"/>
      <c r="I1" s="17"/>
      <c r="J1" s="17"/>
      <c r="K1" s="17"/>
      <c r="L1" s="17"/>
      <c r="M1" s="17"/>
      <c r="N1" s="17"/>
      <c r="O1" s="17"/>
      <c r="P1" s="17"/>
    </row>
    <row r="2" spans="1:16" ht="28.5" customHeight="1">
      <c r="A2" s="18"/>
      <c r="B2" s="18"/>
      <c r="C2" s="18"/>
      <c r="D2" s="18"/>
      <c r="E2" s="17"/>
      <c r="F2" s="17"/>
      <c r="G2" s="17"/>
      <c r="H2" s="17"/>
      <c r="I2" s="17"/>
      <c r="J2" s="17"/>
      <c r="K2" s="17"/>
      <c r="L2" s="17"/>
      <c r="M2" s="17"/>
      <c r="N2" s="17"/>
      <c r="O2" s="17"/>
      <c r="P2" s="17"/>
    </row>
    <row r="3" spans="1:16" ht="15" customHeight="1">
      <c r="A3" s="18"/>
      <c r="B3" s="18"/>
      <c r="C3" s="18"/>
      <c r="D3" s="18"/>
      <c r="E3" s="16"/>
      <c r="F3" s="16"/>
      <c r="G3" s="16"/>
      <c r="H3" s="16"/>
      <c r="I3" s="16"/>
      <c r="J3" s="16"/>
      <c r="K3" s="16"/>
      <c r="L3" s="16"/>
      <c r="M3" s="16"/>
      <c r="N3" s="16"/>
      <c r="O3" s="16"/>
      <c r="P3" s="16"/>
    </row>
    <row r="4" spans="1:16" ht="15" customHeight="1">
      <c r="A4" s="18"/>
      <c r="B4" s="18"/>
      <c r="C4" s="18"/>
      <c r="D4" s="18"/>
      <c r="E4" s="16"/>
      <c r="F4" s="16"/>
      <c r="G4" s="16"/>
      <c r="H4" s="16"/>
      <c r="I4" s="16"/>
      <c r="J4" s="16"/>
      <c r="K4" s="16"/>
      <c r="L4" s="16"/>
      <c r="M4" s="16"/>
      <c r="N4" s="16"/>
      <c r="O4" s="16"/>
      <c r="P4" s="16"/>
    </row>
    <row r="5" spans="1:16" ht="21" customHeight="1">
      <c r="A5" s="18"/>
      <c r="B5" s="18"/>
      <c r="C5" s="18"/>
      <c r="D5" s="18"/>
      <c r="E5" s="28" t="s">
        <v>230</v>
      </c>
      <c r="F5" s="28"/>
      <c r="G5" s="28"/>
      <c r="H5" s="28"/>
      <c r="I5" s="28"/>
      <c r="J5" s="28"/>
      <c r="K5" s="28"/>
      <c r="L5" s="28"/>
      <c r="M5" s="28"/>
      <c r="N5" s="28"/>
      <c r="O5" s="28"/>
      <c r="P5" s="28"/>
    </row>
    <row r="6" spans="1:16" ht="26.1" customHeight="1">
      <c r="A6" s="18"/>
      <c r="B6" s="18"/>
      <c r="C6" s="18"/>
      <c r="D6" s="18"/>
      <c r="E6" s="75" t="s">
        <v>143</v>
      </c>
      <c r="F6" s="75"/>
      <c r="G6" s="75"/>
      <c r="H6" s="75"/>
      <c r="I6" s="75"/>
      <c r="J6" s="75"/>
      <c r="K6" s="75"/>
      <c r="L6" s="75"/>
      <c r="M6" s="75"/>
      <c r="N6" s="75"/>
      <c r="O6" s="75"/>
      <c r="P6" s="75"/>
    </row>
    <row r="7" spans="1:16" ht="26.1" customHeight="1">
      <c r="A7" s="18"/>
      <c r="B7" s="18"/>
      <c r="C7" s="18"/>
      <c r="D7" s="18"/>
      <c r="E7" s="74" t="s">
        <v>235</v>
      </c>
      <c r="F7" s="74"/>
      <c r="G7" s="74"/>
      <c r="H7" s="74"/>
      <c r="I7" s="74"/>
      <c r="J7" s="74"/>
      <c r="K7" s="74"/>
      <c r="L7" s="74"/>
      <c r="M7" s="74"/>
      <c r="N7" s="74"/>
      <c r="O7" s="74"/>
      <c r="P7" s="74"/>
    </row>
    <row r="8" spans="1:16" ht="26.1" customHeight="1">
      <c r="A8" s="18"/>
      <c r="B8" s="18"/>
      <c r="C8" s="18"/>
      <c r="D8" s="18"/>
      <c r="E8" s="74"/>
      <c r="F8" s="74"/>
      <c r="G8" s="74"/>
      <c r="H8" s="74"/>
      <c r="I8" s="74"/>
      <c r="J8" s="74"/>
      <c r="K8" s="74"/>
      <c r="L8" s="74"/>
      <c r="M8" s="74"/>
      <c r="N8" s="74"/>
      <c r="O8" s="74"/>
      <c r="P8" s="74"/>
    </row>
    <row r="9" spans="1:16" ht="26.1" customHeight="1">
      <c r="A9" s="18"/>
      <c r="B9" s="18"/>
      <c r="C9" s="18"/>
      <c r="D9" s="18"/>
      <c r="E9" s="74"/>
      <c r="F9" s="74"/>
      <c r="G9" s="74"/>
      <c r="H9" s="74"/>
      <c r="I9" s="74"/>
      <c r="J9" s="74"/>
      <c r="K9" s="74"/>
      <c r="L9" s="74"/>
      <c r="M9" s="74"/>
      <c r="N9" s="74"/>
      <c r="O9" s="74"/>
      <c r="P9" s="74"/>
    </row>
    <row r="10" spans="1:16" ht="26.1" customHeight="1">
      <c r="A10" s="18"/>
      <c r="B10" s="18"/>
      <c r="C10" s="18"/>
      <c r="D10" s="18"/>
      <c r="E10" s="1"/>
      <c r="F10" s="1"/>
      <c r="G10" s="1"/>
      <c r="H10" s="1"/>
      <c r="I10" s="1"/>
      <c r="J10" s="1"/>
      <c r="K10" s="1"/>
      <c r="L10" s="1"/>
      <c r="M10" s="1"/>
      <c r="N10" s="1"/>
      <c r="O10" s="1"/>
      <c r="P10" s="1"/>
    </row>
    <row r="11" spans="1:16" ht="26.1" customHeight="1">
      <c r="A11" s="18"/>
      <c r="B11" s="18"/>
      <c r="C11" s="18"/>
      <c r="D11" s="18"/>
      <c r="E11" s="75" t="s">
        <v>144</v>
      </c>
      <c r="F11" s="75"/>
      <c r="G11" s="75"/>
      <c r="H11" s="75"/>
      <c r="I11" s="75"/>
      <c r="J11" s="75"/>
      <c r="K11" s="75"/>
      <c r="L11" s="75"/>
      <c r="M11" s="75"/>
      <c r="N11" s="75"/>
      <c r="O11" s="75"/>
      <c r="P11" s="75"/>
    </row>
    <row r="12" spans="1:16" ht="26.1" customHeight="1">
      <c r="A12" s="18"/>
      <c r="B12" s="18"/>
      <c r="C12" s="18"/>
      <c r="D12" s="18"/>
      <c r="E12" s="76" t="s">
        <v>236</v>
      </c>
      <c r="F12" s="76"/>
      <c r="G12" s="76"/>
      <c r="H12" s="76"/>
      <c r="I12" s="76"/>
      <c r="J12" s="76"/>
      <c r="K12" s="76"/>
      <c r="L12" s="76"/>
      <c r="M12" s="76"/>
      <c r="N12" s="76"/>
      <c r="O12" s="76"/>
      <c r="P12" s="76"/>
    </row>
    <row r="13" spans="1:16" ht="26.1" customHeight="1">
      <c r="A13" s="18"/>
      <c r="B13" s="18"/>
      <c r="C13" s="18"/>
      <c r="D13" s="18"/>
      <c r="E13" s="76"/>
      <c r="F13" s="76"/>
      <c r="G13" s="76"/>
      <c r="H13" s="76"/>
      <c r="I13" s="76"/>
      <c r="J13" s="76"/>
      <c r="K13" s="76"/>
      <c r="L13" s="76"/>
      <c r="M13" s="76"/>
      <c r="N13" s="76"/>
      <c r="O13" s="76"/>
      <c r="P13" s="76"/>
    </row>
    <row r="14" spans="1:16" ht="26.1" customHeight="1">
      <c r="A14" s="18"/>
      <c r="B14" s="18"/>
      <c r="C14" s="18"/>
      <c r="D14" s="18"/>
      <c r="E14" s="76"/>
      <c r="F14" s="76"/>
      <c r="G14" s="76"/>
      <c r="H14" s="76"/>
      <c r="I14" s="76"/>
      <c r="J14" s="76"/>
      <c r="K14" s="76"/>
      <c r="L14" s="76"/>
      <c r="M14" s="76"/>
      <c r="N14" s="76"/>
      <c r="O14" s="76"/>
      <c r="P14" s="76"/>
    </row>
    <row r="15" spans="1:16" ht="26.1" customHeight="1">
      <c r="A15" s="18"/>
      <c r="B15" s="18"/>
      <c r="C15" s="18"/>
      <c r="D15" s="18"/>
      <c r="E15" s="1"/>
      <c r="F15" s="1"/>
      <c r="G15" s="1"/>
      <c r="H15" s="1"/>
      <c r="I15" s="1"/>
      <c r="J15" s="1"/>
      <c r="K15" s="1"/>
      <c r="L15" s="1"/>
      <c r="M15" s="1"/>
      <c r="N15" s="1"/>
      <c r="O15" s="1"/>
      <c r="P15" s="1"/>
    </row>
    <row r="16" spans="1:16" ht="26.1" customHeight="1">
      <c r="A16" s="18"/>
      <c r="B16" s="18"/>
      <c r="C16" s="18"/>
      <c r="D16" s="18"/>
      <c r="E16" s="75" t="s">
        <v>145</v>
      </c>
      <c r="F16" s="75"/>
      <c r="G16" s="75"/>
      <c r="H16" s="75"/>
      <c r="I16" s="75"/>
      <c r="J16" s="75"/>
      <c r="K16" s="75"/>
      <c r="L16" s="75"/>
      <c r="M16" s="75"/>
      <c r="N16" s="75"/>
      <c r="O16" s="75"/>
      <c r="P16" s="75"/>
    </row>
    <row r="17" spans="1:16" ht="26.1" customHeight="1">
      <c r="A17" s="18"/>
      <c r="B17" s="18"/>
      <c r="C17" s="18"/>
      <c r="D17" s="18"/>
      <c r="E17" s="74" t="s">
        <v>237</v>
      </c>
      <c r="F17" s="74"/>
      <c r="G17" s="74"/>
      <c r="H17" s="74"/>
      <c r="I17" s="74"/>
      <c r="J17" s="74"/>
      <c r="K17" s="74"/>
      <c r="L17" s="74"/>
      <c r="M17" s="74"/>
      <c r="N17" s="74"/>
      <c r="O17" s="74"/>
      <c r="P17" s="74"/>
    </row>
    <row r="18" spans="1:16" ht="26.1" customHeight="1">
      <c r="A18" s="18"/>
      <c r="B18" s="18"/>
      <c r="C18" s="18"/>
      <c r="D18" s="18"/>
      <c r="E18" s="74"/>
      <c r="F18" s="74"/>
      <c r="G18" s="74"/>
      <c r="H18" s="74"/>
      <c r="I18" s="74"/>
      <c r="J18" s="74"/>
      <c r="K18" s="74"/>
      <c r="L18" s="74"/>
      <c r="M18" s="74"/>
      <c r="N18" s="74"/>
      <c r="O18" s="74"/>
      <c r="P18" s="74"/>
    </row>
    <row r="19" spans="1:16" ht="26.1" customHeight="1">
      <c r="A19" s="18"/>
      <c r="B19" s="18"/>
      <c r="C19" s="18"/>
      <c r="D19" s="18"/>
      <c r="E19" s="74"/>
      <c r="F19" s="74"/>
      <c r="G19" s="74"/>
      <c r="H19" s="74"/>
      <c r="I19" s="74"/>
      <c r="J19" s="74"/>
      <c r="K19" s="74"/>
      <c r="L19" s="74"/>
      <c r="M19" s="74"/>
      <c r="N19" s="74"/>
      <c r="O19" s="74"/>
      <c r="P19" s="74"/>
    </row>
    <row r="20" spans="1:16" ht="26.1" customHeight="1">
      <c r="A20" s="18"/>
      <c r="B20" s="18"/>
      <c r="C20" s="18"/>
      <c r="D20" s="18"/>
      <c r="E20" s="1"/>
      <c r="F20" s="1"/>
      <c r="G20" s="1"/>
      <c r="H20" s="1"/>
      <c r="I20" s="1"/>
      <c r="J20" s="1"/>
      <c r="K20" s="1"/>
      <c r="L20" s="1"/>
      <c r="M20" s="1"/>
      <c r="N20" s="1"/>
      <c r="O20" s="1"/>
      <c r="P20" s="1"/>
    </row>
    <row r="21" spans="1:16" ht="26.1" customHeight="1">
      <c r="A21" s="18"/>
      <c r="B21" s="18"/>
      <c r="C21" s="18"/>
      <c r="D21" s="18"/>
      <c r="E21" s="75" t="s">
        <v>146</v>
      </c>
      <c r="F21" s="75"/>
      <c r="G21" s="75"/>
      <c r="H21" s="75"/>
      <c r="I21" s="75"/>
      <c r="J21" s="75"/>
      <c r="K21" s="75"/>
      <c r="L21" s="75"/>
      <c r="M21" s="75"/>
      <c r="N21" s="75"/>
      <c r="O21" s="75"/>
      <c r="P21" s="75"/>
    </row>
    <row r="22" spans="1:16" ht="26.1" customHeight="1">
      <c r="A22" s="18"/>
      <c r="B22" s="18"/>
      <c r="C22" s="18"/>
      <c r="D22" s="18"/>
      <c r="E22" s="76" t="s">
        <v>238</v>
      </c>
      <c r="F22" s="76"/>
      <c r="G22" s="76"/>
      <c r="H22" s="76"/>
      <c r="I22" s="76"/>
      <c r="J22" s="76"/>
      <c r="K22" s="76"/>
      <c r="L22" s="76"/>
      <c r="M22" s="76"/>
      <c r="N22" s="76"/>
      <c r="O22" s="76"/>
      <c r="P22" s="76"/>
    </row>
    <row r="23" spans="1:16" ht="26.1" customHeight="1">
      <c r="A23" s="18"/>
      <c r="B23" s="18"/>
      <c r="C23" s="18"/>
      <c r="D23" s="18"/>
      <c r="E23" s="76"/>
      <c r="F23" s="76"/>
      <c r="G23" s="76"/>
      <c r="H23" s="76"/>
      <c r="I23" s="76"/>
      <c r="J23" s="76"/>
      <c r="K23" s="76"/>
      <c r="L23" s="76"/>
      <c r="M23" s="76"/>
      <c r="N23" s="76"/>
      <c r="O23" s="76"/>
      <c r="P23" s="76"/>
    </row>
    <row r="24" spans="1:16" ht="26.1" customHeight="1">
      <c r="A24" s="18"/>
      <c r="B24" s="18"/>
      <c r="C24" s="18"/>
      <c r="D24" s="18"/>
      <c r="E24" s="76"/>
      <c r="F24" s="76"/>
      <c r="G24" s="76"/>
      <c r="H24" s="76"/>
      <c r="I24" s="76"/>
      <c r="J24" s="76"/>
      <c r="K24" s="76"/>
      <c r="L24" s="76"/>
      <c r="M24" s="76"/>
      <c r="N24" s="76"/>
      <c r="O24" s="76"/>
      <c r="P24" s="76"/>
    </row>
    <row r="25" spans="1:16" ht="26.1" customHeight="1">
      <c r="A25" s="18"/>
      <c r="B25" s="18"/>
      <c r="C25" s="18"/>
      <c r="D25" s="18"/>
      <c r="E25" s="1"/>
      <c r="F25" s="1"/>
      <c r="G25" s="1"/>
      <c r="H25" s="1"/>
      <c r="I25" s="1"/>
      <c r="J25" s="1"/>
      <c r="K25" s="1"/>
      <c r="L25" s="1"/>
      <c r="M25" s="1"/>
      <c r="N25" s="1"/>
      <c r="O25" s="1"/>
      <c r="P25" s="1"/>
    </row>
    <row r="26" spans="1:16" ht="26.1" customHeight="1">
      <c r="A26" s="18"/>
      <c r="B26" s="18"/>
      <c r="C26" s="18"/>
      <c r="D26" s="18"/>
      <c r="E26" s="75" t="s">
        <v>147</v>
      </c>
      <c r="F26" s="75"/>
      <c r="G26" s="75"/>
      <c r="H26" s="75"/>
      <c r="I26" s="75"/>
      <c r="J26" s="75"/>
      <c r="K26" s="75"/>
      <c r="L26" s="75"/>
      <c r="M26" s="75"/>
      <c r="N26" s="75"/>
      <c r="O26" s="75"/>
      <c r="P26" s="75"/>
    </row>
    <row r="27" spans="1:16" ht="26.1" customHeight="1">
      <c r="A27" s="18"/>
      <c r="B27" s="18"/>
      <c r="C27" s="18"/>
      <c r="D27" s="18"/>
      <c r="E27" s="73" t="s">
        <v>148</v>
      </c>
      <c r="F27" s="73"/>
      <c r="G27" s="73"/>
      <c r="H27" s="73"/>
      <c r="I27" s="73"/>
      <c r="J27" s="73"/>
      <c r="K27" s="73"/>
      <c r="L27" s="73"/>
      <c r="M27" s="73"/>
      <c r="N27" s="73"/>
      <c r="O27" s="73"/>
      <c r="P27" s="73"/>
    </row>
    <row r="28" spans="1:16" ht="26.1" customHeight="1">
      <c r="A28" s="18"/>
      <c r="B28" s="18"/>
      <c r="C28" s="18"/>
      <c r="D28" s="18"/>
      <c r="E28" s="73"/>
      <c r="F28" s="73"/>
      <c r="G28" s="73"/>
      <c r="H28" s="73"/>
      <c r="I28" s="73"/>
      <c r="J28" s="73"/>
      <c r="K28" s="73"/>
      <c r="L28" s="73"/>
      <c r="M28" s="73"/>
      <c r="N28" s="73"/>
      <c r="O28" s="73"/>
      <c r="P28" s="73"/>
    </row>
    <row r="29" spans="1:16" ht="26.1" customHeight="1">
      <c r="A29" s="18"/>
      <c r="B29" s="18"/>
      <c r="C29" s="18"/>
      <c r="D29" s="18"/>
      <c r="E29" s="73"/>
      <c r="F29" s="73"/>
      <c r="G29" s="73"/>
      <c r="H29" s="73"/>
      <c r="I29" s="73"/>
      <c r="J29" s="73"/>
      <c r="K29" s="73"/>
      <c r="L29" s="73"/>
      <c r="M29" s="73"/>
      <c r="N29" s="73"/>
      <c r="O29" s="73"/>
      <c r="P29" s="73"/>
    </row>
    <row r="30" spans="1:16" ht="26.1" customHeight="1">
      <c r="A30" s="18"/>
      <c r="B30" s="18"/>
      <c r="C30" s="18"/>
      <c r="D30" s="18"/>
      <c r="E30" s="1"/>
      <c r="F30" s="1"/>
      <c r="G30" s="1"/>
      <c r="H30" s="1"/>
      <c r="I30" s="1"/>
      <c r="J30" s="1"/>
      <c r="K30" s="1"/>
      <c r="L30" s="1"/>
      <c r="M30" s="1"/>
      <c r="N30" s="1"/>
      <c r="O30" s="1"/>
      <c r="P30" s="1"/>
    </row>
    <row r="31" spans="1:16" ht="26.1" customHeight="1">
      <c r="A31" s="18"/>
      <c r="B31" s="18"/>
      <c r="C31" s="18"/>
      <c r="D31" s="18"/>
      <c r="E31" s="75" t="s">
        <v>149</v>
      </c>
      <c r="F31" s="75"/>
      <c r="G31" s="75"/>
      <c r="H31" s="75"/>
      <c r="I31" s="75"/>
      <c r="J31" s="75"/>
      <c r="K31" s="75"/>
      <c r="L31" s="75"/>
      <c r="M31" s="75"/>
      <c r="N31" s="75"/>
      <c r="O31" s="75"/>
      <c r="P31" s="75"/>
    </row>
    <row r="32" spans="1:16" ht="26.1" customHeight="1">
      <c r="A32" s="18"/>
      <c r="B32" s="18"/>
      <c r="C32" s="18"/>
      <c r="D32" s="18"/>
      <c r="E32" s="76" t="s">
        <v>150</v>
      </c>
      <c r="F32" s="76"/>
      <c r="G32" s="76"/>
      <c r="H32" s="76"/>
      <c r="I32" s="76"/>
      <c r="J32" s="76"/>
      <c r="K32" s="76"/>
      <c r="L32" s="76"/>
      <c r="M32" s="76"/>
      <c r="N32" s="76"/>
      <c r="O32" s="76"/>
      <c r="P32" s="76"/>
    </row>
    <row r="33" spans="1:16" ht="26.1" customHeight="1">
      <c r="A33" s="18"/>
      <c r="B33" s="18"/>
      <c r="C33" s="18"/>
      <c r="D33" s="18"/>
      <c r="E33" s="76"/>
      <c r="F33" s="76"/>
      <c r="G33" s="76"/>
      <c r="H33" s="76"/>
      <c r="I33" s="76"/>
      <c r="J33" s="76"/>
      <c r="K33" s="76"/>
      <c r="L33" s="76"/>
      <c r="M33" s="76"/>
      <c r="N33" s="76"/>
      <c r="O33" s="76"/>
      <c r="P33" s="76"/>
    </row>
    <row r="34" spans="1:16" ht="26.1" customHeight="1">
      <c r="A34" s="18"/>
      <c r="B34" s="18"/>
      <c r="C34" s="18"/>
      <c r="D34" s="18"/>
      <c r="E34" s="76"/>
      <c r="F34" s="76"/>
      <c r="G34" s="76"/>
      <c r="H34" s="76"/>
      <c r="I34" s="76"/>
      <c r="J34" s="76"/>
      <c r="K34" s="76"/>
      <c r="L34" s="76"/>
      <c r="M34" s="76"/>
      <c r="N34" s="76"/>
      <c r="O34" s="76"/>
      <c r="P34" s="76"/>
    </row>
    <row r="35" spans="1:16" ht="26.1" customHeight="1">
      <c r="A35" s="18"/>
      <c r="B35" s="18"/>
      <c r="C35" s="18"/>
      <c r="D35" s="18"/>
      <c r="E35" s="1"/>
      <c r="F35" s="1"/>
      <c r="G35" s="1"/>
      <c r="H35" s="1"/>
      <c r="I35" s="1"/>
      <c r="J35" s="1"/>
      <c r="K35" s="1"/>
      <c r="L35" s="1"/>
      <c r="M35" s="1"/>
      <c r="N35" s="1"/>
      <c r="O35" s="1"/>
      <c r="P35" s="1"/>
    </row>
    <row r="36" spans="1:16" ht="26.1" customHeight="1">
      <c r="A36" s="18"/>
      <c r="B36" s="18"/>
      <c r="C36" s="18"/>
      <c r="D36" s="18"/>
      <c r="E36" s="75" t="s">
        <v>151</v>
      </c>
      <c r="F36" s="75"/>
      <c r="G36" s="75"/>
      <c r="H36" s="75"/>
      <c r="I36" s="75"/>
      <c r="J36" s="75"/>
      <c r="K36" s="75"/>
      <c r="L36" s="75"/>
      <c r="M36" s="75"/>
      <c r="N36" s="75"/>
      <c r="O36" s="75"/>
      <c r="P36" s="75"/>
    </row>
    <row r="37" spans="1:16" ht="26.1" customHeight="1">
      <c r="A37" s="18"/>
      <c r="B37" s="18"/>
      <c r="C37" s="18"/>
      <c r="D37" s="18"/>
      <c r="E37" s="74" t="s">
        <v>239</v>
      </c>
      <c r="F37" s="74"/>
      <c r="G37" s="74"/>
      <c r="H37" s="74"/>
      <c r="I37" s="74"/>
      <c r="J37" s="74"/>
      <c r="K37" s="74"/>
      <c r="L37" s="74"/>
      <c r="M37" s="74"/>
      <c r="N37" s="74"/>
      <c r="O37" s="74"/>
      <c r="P37" s="74"/>
    </row>
    <row r="38" spans="1:16" ht="26.1" customHeight="1">
      <c r="A38" s="18"/>
      <c r="B38" s="18"/>
      <c r="C38" s="18"/>
      <c r="D38" s="18"/>
      <c r="E38" s="74"/>
      <c r="F38" s="74"/>
      <c r="G38" s="74"/>
      <c r="H38" s="74"/>
      <c r="I38" s="74"/>
      <c r="J38" s="74"/>
      <c r="K38" s="74"/>
      <c r="L38" s="74"/>
      <c r="M38" s="74"/>
      <c r="N38" s="74"/>
      <c r="O38" s="74"/>
      <c r="P38" s="74"/>
    </row>
    <row r="39" spans="1:16" ht="26.1" customHeight="1">
      <c r="A39" s="18"/>
      <c r="B39" s="18"/>
      <c r="C39" s="18"/>
      <c r="D39" s="18"/>
      <c r="E39" s="74"/>
      <c r="F39" s="74"/>
      <c r="G39" s="74"/>
      <c r="H39" s="74"/>
      <c r="I39" s="74"/>
      <c r="J39" s="74"/>
      <c r="K39" s="74"/>
      <c r="L39" s="74"/>
      <c r="M39" s="74"/>
      <c r="N39" s="74"/>
      <c r="O39" s="74"/>
      <c r="P39" s="74"/>
    </row>
    <row r="40" spans="1:16" ht="26.1" customHeight="1">
      <c r="A40" s="18"/>
      <c r="B40" s="18"/>
      <c r="C40" s="18"/>
      <c r="D40" s="18"/>
      <c r="E40" s="1"/>
      <c r="F40" s="1"/>
      <c r="G40" s="1"/>
      <c r="H40" s="1"/>
      <c r="I40" s="1"/>
      <c r="J40" s="1"/>
      <c r="K40" s="1"/>
      <c r="L40" s="1"/>
      <c r="M40" s="1"/>
      <c r="N40" s="1"/>
      <c r="O40" s="1"/>
      <c r="P40" s="1"/>
    </row>
    <row r="41" spans="1:16" ht="26.1" customHeight="1">
      <c r="A41" s="18"/>
      <c r="B41" s="18"/>
      <c r="C41" s="18"/>
      <c r="D41" s="18"/>
      <c r="E41" s="75" t="s">
        <v>152</v>
      </c>
      <c r="F41" s="75"/>
      <c r="G41" s="75"/>
      <c r="H41" s="75"/>
      <c r="I41" s="75"/>
      <c r="J41" s="75"/>
      <c r="K41" s="75"/>
      <c r="L41" s="75"/>
      <c r="M41" s="75"/>
      <c r="N41" s="75"/>
      <c r="O41" s="75"/>
      <c r="P41" s="75"/>
    </row>
    <row r="42" spans="1:16" ht="26.1" customHeight="1">
      <c r="A42" s="18"/>
      <c r="B42" s="18"/>
      <c r="C42" s="18"/>
      <c r="D42" s="18"/>
      <c r="E42" s="76" t="s">
        <v>153</v>
      </c>
      <c r="F42" s="76"/>
      <c r="G42" s="76"/>
      <c r="H42" s="76"/>
      <c r="I42" s="76"/>
      <c r="J42" s="76"/>
      <c r="K42" s="76"/>
      <c r="L42" s="76"/>
      <c r="M42" s="76"/>
      <c r="N42" s="76"/>
      <c r="O42" s="76"/>
      <c r="P42" s="76"/>
    </row>
    <row r="43" spans="1:16" ht="26.1" customHeight="1">
      <c r="A43" s="18"/>
      <c r="B43" s="18"/>
      <c r="C43" s="18"/>
      <c r="D43" s="18"/>
      <c r="E43" s="76"/>
      <c r="F43" s="76"/>
      <c r="G43" s="76"/>
      <c r="H43" s="76"/>
      <c r="I43" s="76"/>
      <c r="J43" s="76"/>
      <c r="K43" s="76"/>
      <c r="L43" s="76"/>
      <c r="M43" s="76"/>
      <c r="N43" s="76"/>
      <c r="O43" s="76"/>
      <c r="P43" s="76"/>
    </row>
    <row r="44" spans="1:16" ht="26.1" customHeight="1">
      <c r="A44" s="18"/>
      <c r="B44" s="18"/>
      <c r="C44" s="18"/>
      <c r="D44" s="18"/>
      <c r="E44" s="76"/>
      <c r="F44" s="76"/>
      <c r="G44" s="76"/>
      <c r="H44" s="76"/>
      <c r="I44" s="76"/>
      <c r="J44" s="76"/>
      <c r="K44" s="76"/>
      <c r="L44" s="76"/>
      <c r="M44" s="76"/>
      <c r="N44" s="76"/>
      <c r="O44" s="76"/>
      <c r="P44" s="76"/>
    </row>
    <row r="45" spans="1:16" ht="26.1" customHeight="1">
      <c r="A45" s="18"/>
      <c r="B45" s="18"/>
      <c r="C45" s="18"/>
      <c r="D45" s="18"/>
      <c r="E45" s="1"/>
      <c r="F45" s="1"/>
      <c r="G45" s="1"/>
      <c r="H45" s="1"/>
      <c r="I45" s="1"/>
      <c r="J45" s="1"/>
      <c r="K45" s="1"/>
      <c r="L45" s="1"/>
      <c r="M45" s="1"/>
      <c r="N45" s="1"/>
      <c r="O45" s="1"/>
      <c r="P45" s="1"/>
    </row>
    <row r="46" spans="1:16">
      <c r="A46" s="18"/>
      <c r="B46" s="18"/>
      <c r="C46" s="18"/>
      <c r="D46" s="18"/>
    </row>
    <row r="47" spans="1:16">
      <c r="A47" s="18"/>
      <c r="B47" s="18"/>
      <c r="C47" s="18"/>
      <c r="D47" s="18"/>
    </row>
    <row r="48" spans="1:16">
      <c r="A48" s="18"/>
      <c r="B48" s="18"/>
      <c r="C48" s="18"/>
      <c r="D48" s="18"/>
    </row>
    <row r="49" spans="1:4">
      <c r="A49" s="18"/>
      <c r="B49" s="18"/>
      <c r="C49" s="18"/>
      <c r="D49" s="18"/>
    </row>
    <row r="50" spans="1:4">
      <c r="A50" s="18"/>
      <c r="B50" s="18"/>
      <c r="C50" s="18"/>
      <c r="D50" s="18"/>
    </row>
    <row r="51" spans="1:4">
      <c r="A51" s="18"/>
      <c r="B51" s="18"/>
      <c r="C51" s="18"/>
      <c r="D51" s="18"/>
    </row>
    <row r="52" spans="1:4">
      <c r="A52" s="18"/>
      <c r="B52" s="18"/>
      <c r="C52" s="18"/>
      <c r="D52" s="18"/>
    </row>
    <row r="53" spans="1:4">
      <c r="A53" s="18"/>
      <c r="B53" s="18"/>
      <c r="C53" s="18"/>
      <c r="D53" s="18"/>
    </row>
    <row r="54" spans="1:4">
      <c r="A54" s="18"/>
      <c r="B54" s="18"/>
      <c r="C54" s="18"/>
      <c r="D54" s="18"/>
    </row>
    <row r="55" spans="1:4">
      <c r="A55" s="18"/>
      <c r="B55" s="18"/>
      <c r="C55" s="18"/>
      <c r="D55" s="18"/>
    </row>
    <row r="56" spans="1:4">
      <c r="A56" s="18"/>
      <c r="B56" s="18"/>
      <c r="C56" s="18"/>
      <c r="D56" s="18"/>
    </row>
    <row r="57" spans="1:4">
      <c r="A57" s="18"/>
      <c r="B57" s="18"/>
      <c r="C57" s="18"/>
      <c r="D57" s="18"/>
    </row>
    <row r="58" spans="1:4">
      <c r="A58" s="18"/>
      <c r="B58" s="18"/>
      <c r="C58" s="18"/>
      <c r="D58" s="18"/>
    </row>
    <row r="59" spans="1:4">
      <c r="A59" s="18"/>
      <c r="B59" s="18"/>
      <c r="C59" s="18"/>
      <c r="D59" s="18"/>
    </row>
    <row r="60" spans="1:4">
      <c r="A60" s="18"/>
      <c r="B60" s="18"/>
      <c r="C60" s="18"/>
      <c r="D60" s="18"/>
    </row>
    <row r="61" spans="1:4">
      <c r="A61" s="18"/>
      <c r="B61" s="18"/>
      <c r="C61" s="18"/>
      <c r="D61" s="18"/>
    </row>
    <row r="62" spans="1:4">
      <c r="A62" s="18"/>
      <c r="B62" s="18"/>
      <c r="C62" s="18"/>
      <c r="D62" s="18"/>
    </row>
    <row r="63" spans="1:4">
      <c r="A63" s="18"/>
      <c r="B63" s="18"/>
      <c r="C63" s="18"/>
      <c r="D63" s="18"/>
    </row>
    <row r="64" spans="1:4">
      <c r="A64" s="18"/>
      <c r="B64" s="18"/>
      <c r="C64" s="18"/>
      <c r="D64" s="18"/>
    </row>
    <row r="65" spans="1:4">
      <c r="A65" s="18"/>
      <c r="B65" s="18"/>
      <c r="C65" s="18"/>
      <c r="D65" s="18"/>
    </row>
    <row r="66" spans="1:4">
      <c r="A66" s="18"/>
      <c r="B66" s="18"/>
      <c r="C66" s="18"/>
      <c r="D66" s="18"/>
    </row>
    <row r="67" spans="1:4">
      <c r="A67" s="18"/>
      <c r="B67" s="18"/>
      <c r="C67" s="18"/>
      <c r="D67" s="18"/>
    </row>
    <row r="68" spans="1:4">
      <c r="A68" s="18"/>
      <c r="B68" s="18"/>
      <c r="C68" s="18"/>
      <c r="D68" s="18"/>
    </row>
    <row r="69" spans="1:4">
      <c r="A69" s="18"/>
      <c r="B69" s="18"/>
      <c r="C69" s="18"/>
      <c r="D69" s="18"/>
    </row>
    <row r="70" spans="1:4">
      <c r="A70" s="18"/>
      <c r="B70" s="18"/>
      <c r="C70" s="18"/>
      <c r="D70" s="18"/>
    </row>
    <row r="71" spans="1:4">
      <c r="A71" s="18"/>
      <c r="B71" s="18"/>
      <c r="C71" s="18"/>
      <c r="D71" s="18"/>
    </row>
    <row r="72" spans="1:4">
      <c r="A72" s="18"/>
      <c r="B72" s="18"/>
      <c r="C72" s="18"/>
      <c r="D72" s="18"/>
    </row>
    <row r="73" spans="1:4">
      <c r="A73" s="18"/>
      <c r="B73" s="18"/>
      <c r="C73" s="18"/>
      <c r="D73" s="18"/>
    </row>
    <row r="74" spans="1:4">
      <c r="A74" s="18"/>
      <c r="B74" s="18"/>
      <c r="C74" s="18"/>
      <c r="D74" s="18"/>
    </row>
    <row r="75" spans="1:4">
      <c r="A75" s="18"/>
      <c r="B75" s="18"/>
      <c r="C75" s="18"/>
      <c r="D75" s="18"/>
    </row>
    <row r="76" spans="1:4">
      <c r="A76" s="18"/>
      <c r="B76" s="18"/>
      <c r="C76" s="18"/>
      <c r="D76" s="18"/>
    </row>
    <row r="77" spans="1:4">
      <c r="A77" s="18"/>
      <c r="B77" s="18"/>
      <c r="C77" s="18"/>
      <c r="D77" s="18"/>
    </row>
    <row r="78" spans="1:4">
      <c r="A78" s="18"/>
      <c r="B78" s="18"/>
      <c r="C78" s="18"/>
      <c r="D78" s="18"/>
    </row>
    <row r="79" spans="1:4">
      <c r="A79" s="18"/>
      <c r="B79" s="18"/>
      <c r="C79" s="18"/>
      <c r="D79" s="18"/>
    </row>
    <row r="80" spans="1:4">
      <c r="A80" s="18"/>
      <c r="B80" s="18"/>
      <c r="C80" s="18"/>
      <c r="D80" s="18"/>
    </row>
    <row r="81" spans="1:4">
      <c r="A81" s="18"/>
      <c r="B81" s="18"/>
      <c r="C81" s="18"/>
      <c r="D81" s="18"/>
    </row>
    <row r="82" spans="1:4">
      <c r="A82" s="18"/>
      <c r="B82" s="18"/>
      <c r="C82" s="18"/>
      <c r="D82" s="18"/>
    </row>
    <row r="83" spans="1:4">
      <c r="A83" s="18"/>
      <c r="B83" s="18"/>
      <c r="C83" s="18"/>
      <c r="D83" s="18"/>
    </row>
    <row r="84" spans="1:4">
      <c r="A84" s="18"/>
      <c r="B84" s="18"/>
      <c r="C84" s="18"/>
      <c r="D84" s="18"/>
    </row>
    <row r="85" spans="1:4">
      <c r="A85" s="18"/>
      <c r="B85" s="18"/>
      <c r="C85" s="18"/>
      <c r="D85" s="18"/>
    </row>
    <row r="86" spans="1:4">
      <c r="A86" s="18"/>
      <c r="B86" s="18"/>
      <c r="C86" s="18"/>
      <c r="D86" s="18"/>
    </row>
    <row r="87" spans="1:4">
      <c r="A87" s="18"/>
      <c r="B87" s="18"/>
      <c r="C87" s="18"/>
      <c r="D87" s="18"/>
    </row>
    <row r="88" spans="1:4">
      <c r="A88" s="18"/>
      <c r="B88" s="18"/>
      <c r="C88" s="18"/>
      <c r="D88" s="18"/>
    </row>
    <row r="89" spans="1:4">
      <c r="A89" s="18"/>
      <c r="B89" s="18"/>
      <c r="C89" s="18"/>
      <c r="D89" s="18"/>
    </row>
    <row r="90" spans="1:4">
      <c r="A90" s="18"/>
      <c r="B90" s="18"/>
      <c r="C90" s="18"/>
      <c r="D90" s="18"/>
    </row>
    <row r="91" spans="1:4">
      <c r="A91" s="18"/>
      <c r="B91" s="18"/>
      <c r="C91" s="18"/>
      <c r="D91" s="18"/>
    </row>
    <row r="92" spans="1:4">
      <c r="A92" s="18"/>
      <c r="B92" s="18"/>
      <c r="C92" s="18"/>
      <c r="D92" s="18"/>
    </row>
    <row r="93" spans="1:4">
      <c r="A93" s="18"/>
      <c r="B93" s="18"/>
      <c r="C93" s="18"/>
      <c r="D93" s="18"/>
    </row>
    <row r="94" spans="1:4">
      <c r="A94" s="18"/>
      <c r="B94" s="18"/>
      <c r="C94" s="18"/>
      <c r="D94" s="18"/>
    </row>
    <row r="95" spans="1:4">
      <c r="A95" s="18"/>
      <c r="B95" s="18"/>
      <c r="C95" s="18"/>
      <c r="D95" s="18"/>
    </row>
    <row r="96" spans="1:4">
      <c r="A96" s="18"/>
      <c r="B96" s="18"/>
      <c r="C96" s="18"/>
      <c r="D96" s="18"/>
    </row>
    <row r="97" spans="1:4">
      <c r="A97" s="18"/>
      <c r="B97" s="18"/>
      <c r="C97" s="18"/>
      <c r="D97" s="18"/>
    </row>
    <row r="98" spans="1:4">
      <c r="A98" s="18"/>
      <c r="B98" s="18"/>
      <c r="C98" s="18"/>
      <c r="D98" s="18"/>
    </row>
    <row r="99" spans="1:4">
      <c r="A99" s="18"/>
      <c r="B99" s="18"/>
      <c r="C99" s="18"/>
      <c r="D99" s="18"/>
    </row>
    <row r="100" spans="1:4">
      <c r="A100" s="18"/>
      <c r="B100" s="18"/>
      <c r="C100" s="18"/>
      <c r="D100" s="18"/>
    </row>
    <row r="101" spans="1:4">
      <c r="A101" s="18"/>
      <c r="B101" s="18"/>
      <c r="C101" s="18"/>
      <c r="D101" s="18"/>
    </row>
    <row r="102" spans="1:4">
      <c r="A102" s="18"/>
      <c r="B102" s="18"/>
      <c r="C102" s="18"/>
      <c r="D102" s="18"/>
    </row>
    <row r="103" spans="1:4">
      <c r="A103" s="18"/>
      <c r="B103" s="18"/>
      <c r="C103" s="18"/>
      <c r="D103" s="18"/>
    </row>
    <row r="104" spans="1:4">
      <c r="A104" s="18"/>
      <c r="B104" s="18"/>
      <c r="C104" s="18"/>
      <c r="D104" s="18"/>
    </row>
    <row r="105" spans="1:4">
      <c r="A105" s="18"/>
      <c r="B105" s="18"/>
      <c r="C105" s="18"/>
      <c r="D105" s="18"/>
    </row>
    <row r="106" spans="1:4">
      <c r="A106" s="18"/>
      <c r="B106" s="18"/>
      <c r="C106" s="18"/>
      <c r="D106" s="18"/>
    </row>
    <row r="107" spans="1:4">
      <c r="A107" s="18"/>
      <c r="B107" s="18"/>
      <c r="C107" s="18"/>
      <c r="D107" s="18"/>
    </row>
    <row r="108" spans="1:4">
      <c r="A108" s="18"/>
      <c r="B108" s="18"/>
      <c r="C108" s="18"/>
      <c r="D108" s="18"/>
    </row>
    <row r="109" spans="1:4">
      <c r="A109" s="18"/>
      <c r="B109" s="18"/>
      <c r="C109" s="18"/>
      <c r="D109" s="18"/>
    </row>
    <row r="110" spans="1:4">
      <c r="A110" s="18"/>
      <c r="B110" s="18"/>
      <c r="C110" s="18"/>
      <c r="D110" s="18"/>
    </row>
  </sheetData>
  <mergeCells count="17">
    <mergeCell ref="E42:P44"/>
    <mergeCell ref="E31:P31"/>
    <mergeCell ref="E32:P34"/>
    <mergeCell ref="E36:P36"/>
    <mergeCell ref="E37:P39"/>
    <mergeCell ref="E41:P41"/>
    <mergeCell ref="E5:P5"/>
    <mergeCell ref="E27:P29"/>
    <mergeCell ref="E17:P19"/>
    <mergeCell ref="E21:P21"/>
    <mergeCell ref="E22:P24"/>
    <mergeCell ref="E26:P26"/>
    <mergeCell ref="E6:P6"/>
    <mergeCell ref="E7:P9"/>
    <mergeCell ref="E11:P11"/>
    <mergeCell ref="E12:P14"/>
    <mergeCell ref="E16:P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Dashboard</vt:lpstr>
      <vt:lpstr>Risk Register</vt:lpstr>
      <vt:lpstr>Control Assessment</vt:lpstr>
      <vt:lpstr>Evidence Tracker</vt:lpstr>
      <vt:lpstr>Remediation Tracker</vt:lpstr>
      <vt:lpstr>Scoring Methodology</vt:lpstr>
      <vt:lpstr>Instructions</vt:lpstr>
      <vt:lpstr>ControlIDs</vt:lpstr>
      <vt:lpstr>EvidenceIDs</vt:lpstr>
      <vt:lpstr>RiskIDs</vt:lpstr>
      <vt:lpstr>RiskTitles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Portfolio</dc:creator>
  <cp:lastModifiedBy>Portfolio</cp:lastModifiedBy>
  <dcterms:created xsi:type="dcterms:W3CDTF">2026-10-15T17:29:49Z</dcterms:created>
  <dcterms:modified xsi:type="dcterms:W3CDTF">2026-10-16T18:00:00Z</dcterms:modified>
</cp:coreProperties>
</file>